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Ocius\Ocius\HEXATRONICS\1\"/>
    </mc:Choice>
  </mc:AlternateContent>
  <xr:revisionPtr revIDLastSave="1" documentId="13_ncr:1_{6592A281-3300-478C-9265-F28464AD3294}" xr6:coauthVersionLast="47" xr6:coauthVersionMax="47" xr10:uidLastSave="{1B10F053-BECE-4B22-A1ED-CB8377F40EB6}"/>
  <bookViews>
    <workbookView xWindow="28680" yWindow="-120" windowWidth="29040" windowHeight="15840" xr2:uid="{00000000-000D-0000-FFFF-FFFF00000000}"/>
  </bookViews>
  <sheets>
    <sheet name="BoQ from Engineer" sheetId="66" r:id="rId1"/>
    <sheet name="Hex Material" sheetId="61" state="hidden" r:id="rId2"/>
    <sheet name="Construction" sheetId="8" state="hidden" r:id="rId3"/>
    <sheet name="Trenching Worksheet" sheetId="67" r:id="rId4"/>
    <sheet name="Drop Placement Worksheet" sheetId="68" r:id="rId5"/>
    <sheet name="Cost Summary" sheetId="13" state="hidden" r:id="rId6"/>
    <sheet name="Material and Labor" sheetId="3" state="hidden" r:id="rId7"/>
  </sheets>
  <definedNames>
    <definedName name="_xlnm._FilterDatabase" localSheetId="0" hidden="1">'BoQ from Engineer'!#REF!</definedName>
    <definedName name="_xlnm._FilterDatabase" localSheetId="2" hidden="1">Construction!$A$1:$H$38</definedName>
    <definedName name="_xlnm._FilterDatabase" localSheetId="4" hidden="1">'Drop Placement Worksheet'!$A$1:$J$182</definedName>
    <definedName name="_xlnm._FilterDatabase" localSheetId="1" hidden="1">'Hex Material'!$A$1:$I$53</definedName>
    <definedName name="_xlnm._FilterDatabase" localSheetId="6" hidden="1">'Material and Labor'!$A$1:$I$150</definedName>
    <definedName name="_xlnm._FilterDatabase" localSheetId="3" hidden="1">'Trenching Worksheet'!$A$1:$K$28</definedName>
    <definedName name="VisRpt" localSheetId="0">#REF!</definedName>
    <definedName name="VisRpt" localSheetId="4">#REF!</definedName>
    <definedName name="VisRpt" localSheetId="1">#REF!</definedName>
    <definedName name="VisRpt" localSheetId="3">#REF!</definedName>
    <definedName name="VisRpt">#REF!</definedName>
  </definedNames>
  <calcPr calcId="191028" iterate="1"/>
  <pivotCaches>
    <pivotCache cacheId="9476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66" l="1"/>
  <c r="J59" i="68"/>
  <c r="J57" i="68"/>
  <c r="J55" i="68"/>
  <c r="J53" i="68"/>
  <c r="J47" i="68"/>
  <c r="J45" i="68"/>
  <c r="J20" i="68"/>
  <c r="J18" i="68"/>
  <c r="J140" i="68"/>
  <c r="J17" i="68"/>
  <c r="I182" i="68"/>
  <c r="H182" i="68"/>
  <c r="F182" i="68"/>
  <c r="E182" i="68"/>
  <c r="D182" i="68"/>
  <c r="C182" i="68"/>
  <c r="J51" i="68"/>
  <c r="J50" i="68"/>
  <c r="J49" i="68"/>
  <c r="J48" i="68"/>
  <c r="J46" i="68"/>
  <c r="J44" i="68"/>
  <c r="J60" i="68"/>
  <c r="J58" i="68"/>
  <c r="J56" i="68"/>
  <c r="J54" i="68"/>
  <c r="J52" i="68"/>
  <c r="J19" i="68"/>
  <c r="J16" i="68"/>
  <c r="J15" i="68"/>
  <c r="J14" i="68"/>
  <c r="J13" i="68"/>
  <c r="J12" i="68"/>
  <c r="K26" i="67"/>
  <c r="K25" i="67"/>
  <c r="K24" i="67"/>
  <c r="K21" i="67"/>
  <c r="K20" i="67"/>
  <c r="K14" i="67"/>
  <c r="K13" i="67"/>
  <c r="K11" i="67"/>
  <c r="K10" i="67"/>
  <c r="K12" i="67"/>
  <c r="K9" i="67"/>
  <c r="K8" i="67"/>
  <c r="J142" i="68"/>
  <c r="J101" i="68"/>
  <c r="K19" i="67"/>
  <c r="K17" i="67"/>
  <c r="K18" i="67"/>
  <c r="G182" i="68" l="1"/>
  <c r="J182" i="68" s="1"/>
  <c r="K3" i="67"/>
  <c r="K4" i="67" l="1"/>
  <c r="K2" i="67"/>
  <c r="K23" i="67"/>
  <c r="K22" i="67"/>
  <c r="J39" i="68"/>
  <c r="J38" i="68"/>
  <c r="J37" i="68"/>
  <c r="J36" i="68"/>
  <c r="J35" i="68"/>
  <c r="J34" i="68"/>
  <c r="J33" i="68"/>
  <c r="J32" i="68"/>
  <c r="J31" i="68"/>
  <c r="J30" i="68"/>
  <c r="J29" i="68"/>
  <c r="J28" i="68"/>
  <c r="J27" i="68"/>
  <c r="J26" i="68"/>
  <c r="J25" i="68"/>
  <c r="J24" i="68"/>
  <c r="J23" i="68"/>
  <c r="J22" i="68"/>
  <c r="J21" i="68"/>
  <c r="J11" i="68"/>
  <c r="J10" i="68"/>
  <c r="J9" i="68"/>
  <c r="J8" i="68"/>
  <c r="J7" i="68"/>
  <c r="J6" i="68"/>
  <c r="J5" i="68"/>
  <c r="J4" i="68"/>
  <c r="J3" i="68"/>
  <c r="J84" i="68"/>
  <c r="J83" i="68"/>
  <c r="J82" i="68"/>
  <c r="J81" i="68"/>
  <c r="J80" i="68"/>
  <c r="J79" i="68"/>
  <c r="J78" i="68"/>
  <c r="J181" i="68"/>
  <c r="J180" i="68"/>
  <c r="J179" i="68"/>
  <c r="J178" i="68"/>
  <c r="J177" i="68"/>
  <c r="J176" i="68"/>
  <c r="J175" i="68"/>
  <c r="J174" i="68"/>
  <c r="J173" i="68"/>
  <c r="J172" i="68"/>
  <c r="J171" i="68"/>
  <c r="J170" i="68"/>
  <c r="J169" i="68"/>
  <c r="J168" i="68"/>
  <c r="J167" i="68"/>
  <c r="J166" i="68"/>
  <c r="J165" i="68"/>
  <c r="J164" i="68"/>
  <c r="J163" i="68"/>
  <c r="J162" i="68"/>
  <c r="J161" i="68"/>
  <c r="J160" i="68"/>
  <c r="J159" i="68"/>
  <c r="J158" i="68"/>
  <c r="J157" i="68"/>
  <c r="J156" i="68"/>
  <c r="J155" i="68"/>
  <c r="J154" i="68"/>
  <c r="J153" i="68"/>
  <c r="J152" i="68"/>
  <c r="J151" i="68"/>
  <c r="J150" i="68"/>
  <c r="J149" i="68"/>
  <c r="J148" i="68"/>
  <c r="J147" i="68"/>
  <c r="J146" i="68"/>
  <c r="J145" i="68"/>
  <c r="J144" i="68"/>
  <c r="J143" i="68"/>
  <c r="J141" i="68"/>
  <c r="J139" i="68"/>
  <c r="J138" i="68"/>
  <c r="J137" i="68"/>
  <c r="J136" i="68"/>
  <c r="J135" i="68"/>
  <c r="J134" i="68"/>
  <c r="J133" i="68"/>
  <c r="J132" i="68"/>
  <c r="J131" i="68"/>
  <c r="J130" i="68"/>
  <c r="J129" i="68"/>
  <c r="J128" i="68"/>
  <c r="J127" i="68"/>
  <c r="J126" i="68"/>
  <c r="J125" i="68"/>
  <c r="J124" i="68"/>
  <c r="J123" i="68"/>
  <c r="J122" i="68"/>
  <c r="J121" i="68"/>
  <c r="J120" i="68"/>
  <c r="J119" i="68"/>
  <c r="J118" i="68"/>
  <c r="J117" i="68"/>
  <c r="J116" i="68"/>
  <c r="J115" i="68"/>
  <c r="J114" i="68"/>
  <c r="J113" i="68"/>
  <c r="J112" i="68"/>
  <c r="J111" i="68"/>
  <c r="J110" i="68"/>
  <c r="J109" i="68"/>
  <c r="J108" i="68"/>
  <c r="J107" i="68"/>
  <c r="J106" i="68"/>
  <c r="J105" i="68"/>
  <c r="K15" i="67" l="1"/>
  <c r="J89" i="68"/>
  <c r="J69" i="68" l="1"/>
  <c r="J68" i="68"/>
  <c r="J67" i="68"/>
  <c r="J66" i="68"/>
  <c r="J65" i="68"/>
  <c r="J64" i="68"/>
  <c r="J63" i="68"/>
  <c r="J62" i="68"/>
  <c r="J61" i="68"/>
  <c r="J43" i="68"/>
  <c r="J42" i="68"/>
  <c r="J77" i="68"/>
  <c r="J76" i="68"/>
  <c r="J75" i="68"/>
  <c r="J74" i="68"/>
  <c r="J73" i="68"/>
  <c r="J72" i="68"/>
  <c r="J71" i="68"/>
  <c r="J70" i="68"/>
  <c r="K27" i="67"/>
  <c r="E28" i="67"/>
  <c r="F28" i="67"/>
  <c r="J91" i="68"/>
  <c r="J90" i="68"/>
  <c r="J88" i="68"/>
  <c r="J87" i="68"/>
  <c r="J86" i="68"/>
  <c r="J85" i="68"/>
  <c r="J41" i="68"/>
  <c r="J40" i="68"/>
  <c r="J2" i="68"/>
  <c r="J102" i="68"/>
  <c r="J104" i="68"/>
  <c r="J103" i="68"/>
  <c r="J100" i="68"/>
  <c r="J99" i="68"/>
  <c r="J98" i="68"/>
  <c r="J97" i="68"/>
  <c r="J96" i="68"/>
  <c r="J95" i="68"/>
  <c r="J94" i="68"/>
  <c r="J93" i="68"/>
  <c r="C10" i="66"/>
  <c r="K16" i="67" l="1"/>
  <c r="K7" i="67"/>
  <c r="K6" i="67"/>
  <c r="K5" i="67" l="1"/>
  <c r="G28" i="67" l="1"/>
  <c r="H28" i="67"/>
  <c r="D23" i="66" l="1"/>
  <c r="E3" i="66"/>
  <c r="G25" i="3"/>
  <c r="E25" i="3"/>
  <c r="D25" i="3"/>
  <c r="C25" i="3"/>
  <c r="B25" i="3"/>
  <c r="A25" i="3"/>
  <c r="D40" i="66" l="1"/>
  <c r="D41" i="66"/>
  <c r="D42" i="66"/>
  <c r="D43" i="66"/>
  <c r="D44" i="66"/>
  <c r="G57" i="3"/>
  <c r="E57" i="3"/>
  <c r="D57" i="3"/>
  <c r="C57" i="3"/>
  <c r="B57" i="3"/>
  <c r="A57" i="3"/>
  <c r="A80" i="3" l="1"/>
  <c r="B80" i="3"/>
  <c r="C80" i="3"/>
  <c r="D80" i="3"/>
  <c r="E80" i="3"/>
  <c r="A81" i="3"/>
  <c r="B81" i="3"/>
  <c r="C81" i="3"/>
  <c r="D81" i="3"/>
  <c r="E81" i="3"/>
  <c r="G81" i="3"/>
  <c r="A82" i="3"/>
  <c r="B82" i="3"/>
  <c r="C82" i="3"/>
  <c r="D82" i="3"/>
  <c r="E82" i="3"/>
  <c r="G82" i="3"/>
  <c r="A83" i="3"/>
  <c r="B83" i="3"/>
  <c r="C83" i="3"/>
  <c r="D83" i="3"/>
  <c r="E83" i="3"/>
  <c r="G83" i="3"/>
  <c r="A84" i="3"/>
  <c r="B84" i="3"/>
  <c r="C84" i="3"/>
  <c r="D84" i="3"/>
  <c r="E84" i="3"/>
  <c r="A85" i="3"/>
  <c r="B85" i="3"/>
  <c r="C85" i="3"/>
  <c r="D85" i="3"/>
  <c r="E85" i="3"/>
  <c r="G85" i="3"/>
  <c r="A86" i="3"/>
  <c r="B86" i="3"/>
  <c r="C86" i="3"/>
  <c r="D86" i="3"/>
  <c r="E86" i="3"/>
  <c r="G86" i="3"/>
  <c r="A53" i="3"/>
  <c r="B53" i="3"/>
  <c r="C53" i="3"/>
  <c r="D53" i="3"/>
  <c r="E53" i="3"/>
  <c r="G53" i="3"/>
  <c r="A54" i="3"/>
  <c r="B54" i="3"/>
  <c r="C54" i="3"/>
  <c r="D54" i="3"/>
  <c r="E54" i="3"/>
  <c r="G54" i="3"/>
  <c r="A55" i="3"/>
  <c r="B55" i="3"/>
  <c r="C55" i="3"/>
  <c r="D55" i="3"/>
  <c r="E55" i="3"/>
  <c r="G55" i="3"/>
  <c r="A56" i="3"/>
  <c r="B56" i="3"/>
  <c r="C56" i="3"/>
  <c r="D56" i="3"/>
  <c r="E56" i="3"/>
  <c r="G56" i="3"/>
  <c r="A58" i="3"/>
  <c r="B58" i="3"/>
  <c r="C58" i="3"/>
  <c r="D58" i="3"/>
  <c r="E58" i="3"/>
  <c r="F58" i="3"/>
  <c r="G58" i="3"/>
  <c r="H58" i="3"/>
  <c r="A59" i="3"/>
  <c r="B59" i="3"/>
  <c r="C59" i="3"/>
  <c r="D59" i="3"/>
  <c r="E59" i="3"/>
  <c r="G59" i="3"/>
  <c r="A60" i="3"/>
  <c r="B60" i="3"/>
  <c r="C60" i="3"/>
  <c r="D60" i="3"/>
  <c r="E60" i="3"/>
  <c r="G60" i="3"/>
  <c r="A61" i="3"/>
  <c r="B61" i="3"/>
  <c r="C61" i="3"/>
  <c r="D61" i="3"/>
  <c r="E61" i="3"/>
  <c r="G61" i="3"/>
  <c r="A62" i="3"/>
  <c r="B62" i="3"/>
  <c r="C62" i="3"/>
  <c r="D62" i="3"/>
  <c r="E62" i="3"/>
  <c r="G62" i="3"/>
  <c r="A63" i="3"/>
  <c r="B63" i="3"/>
  <c r="C63" i="3"/>
  <c r="D63" i="3"/>
  <c r="E63" i="3"/>
  <c r="G63" i="3"/>
  <c r="A64" i="3"/>
  <c r="B64" i="3"/>
  <c r="C64" i="3"/>
  <c r="D64" i="3"/>
  <c r="E64" i="3"/>
  <c r="G64" i="3"/>
  <c r="A65" i="3"/>
  <c r="B65" i="3"/>
  <c r="C65" i="3"/>
  <c r="D65" i="3"/>
  <c r="E65" i="3"/>
  <c r="G65" i="3"/>
  <c r="A66" i="3"/>
  <c r="B66" i="3"/>
  <c r="C66" i="3"/>
  <c r="D66" i="3"/>
  <c r="E66" i="3"/>
  <c r="G66" i="3"/>
  <c r="A67" i="3"/>
  <c r="B67" i="3"/>
  <c r="C67" i="3"/>
  <c r="D67" i="3"/>
  <c r="E67" i="3"/>
  <c r="G67" i="3"/>
  <c r="A68" i="3"/>
  <c r="B68" i="3"/>
  <c r="C68" i="3"/>
  <c r="D68" i="3"/>
  <c r="E68" i="3"/>
  <c r="G68" i="3"/>
  <c r="A69" i="3"/>
  <c r="B69" i="3"/>
  <c r="C69" i="3"/>
  <c r="D69" i="3"/>
  <c r="E69" i="3"/>
  <c r="G69" i="3"/>
  <c r="A70" i="3"/>
  <c r="B70" i="3"/>
  <c r="C70" i="3"/>
  <c r="D70" i="3"/>
  <c r="E70" i="3"/>
  <c r="G70" i="3"/>
  <c r="A71" i="3"/>
  <c r="B71" i="3"/>
  <c r="C71" i="3"/>
  <c r="D71" i="3"/>
  <c r="E71" i="3"/>
  <c r="G71" i="3"/>
  <c r="A72" i="3"/>
  <c r="B72" i="3"/>
  <c r="C72" i="3"/>
  <c r="D72" i="3"/>
  <c r="E72" i="3"/>
  <c r="F72" i="3"/>
  <c r="G72" i="3"/>
  <c r="H72" i="3"/>
  <c r="A73" i="3"/>
  <c r="B73" i="3"/>
  <c r="C73" i="3"/>
  <c r="D73" i="3"/>
  <c r="E73" i="3"/>
  <c r="G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G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F79" i="3"/>
  <c r="G79" i="3"/>
  <c r="H79" i="3"/>
  <c r="B52" i="3"/>
  <c r="C52" i="3"/>
  <c r="D52" i="3"/>
  <c r="E52" i="3"/>
  <c r="F52" i="3"/>
  <c r="G52" i="3"/>
  <c r="H52" i="3"/>
  <c r="A52" i="3"/>
  <c r="A28" i="3"/>
  <c r="B28" i="3"/>
  <c r="C28" i="3"/>
  <c r="D28" i="3"/>
  <c r="E28" i="3"/>
  <c r="F28" i="3"/>
  <c r="G28" i="3"/>
  <c r="H28" i="3"/>
  <c r="A29" i="3"/>
  <c r="B29" i="3"/>
  <c r="C29" i="3"/>
  <c r="D29" i="3"/>
  <c r="E29" i="3"/>
  <c r="G29" i="3"/>
  <c r="A30" i="3"/>
  <c r="B30" i="3"/>
  <c r="C30" i="3"/>
  <c r="D30" i="3"/>
  <c r="E30" i="3"/>
  <c r="G30" i="3"/>
  <c r="A31" i="3"/>
  <c r="B31" i="3"/>
  <c r="C31" i="3"/>
  <c r="D31" i="3"/>
  <c r="E31" i="3"/>
  <c r="G31" i="3"/>
  <c r="A32" i="3"/>
  <c r="B32" i="3"/>
  <c r="C32" i="3"/>
  <c r="D32" i="3"/>
  <c r="E32" i="3"/>
  <c r="G32" i="3"/>
  <c r="A33" i="3"/>
  <c r="B33" i="3"/>
  <c r="C33" i="3"/>
  <c r="D33" i="3"/>
  <c r="E33" i="3"/>
  <c r="G33" i="3"/>
  <c r="A34" i="3"/>
  <c r="B34" i="3"/>
  <c r="C34" i="3"/>
  <c r="D34" i="3"/>
  <c r="E34" i="3"/>
  <c r="F34" i="3"/>
  <c r="G34" i="3"/>
  <c r="H34" i="3"/>
  <c r="A35" i="3"/>
  <c r="B35" i="3"/>
  <c r="C35" i="3"/>
  <c r="D35" i="3"/>
  <c r="E35" i="3"/>
  <c r="G35" i="3"/>
  <c r="A36" i="3"/>
  <c r="B36" i="3"/>
  <c r="C36" i="3"/>
  <c r="D36" i="3"/>
  <c r="E36" i="3"/>
  <c r="G36" i="3"/>
  <c r="A37" i="3"/>
  <c r="B37" i="3"/>
  <c r="C37" i="3"/>
  <c r="D37" i="3"/>
  <c r="E37" i="3"/>
  <c r="G37" i="3"/>
  <c r="A38" i="3"/>
  <c r="B38" i="3"/>
  <c r="C38" i="3"/>
  <c r="D38" i="3"/>
  <c r="E38" i="3"/>
  <c r="G38" i="3"/>
  <c r="A39" i="3"/>
  <c r="B39" i="3"/>
  <c r="C39" i="3"/>
  <c r="D39" i="3"/>
  <c r="E39" i="3"/>
  <c r="G39" i="3"/>
  <c r="A40" i="3"/>
  <c r="B40" i="3"/>
  <c r="C40" i="3"/>
  <c r="D40" i="3"/>
  <c r="E40" i="3"/>
  <c r="G40" i="3"/>
  <c r="A41" i="3"/>
  <c r="B41" i="3"/>
  <c r="C41" i="3"/>
  <c r="D41" i="3"/>
  <c r="E41" i="3"/>
  <c r="G41" i="3"/>
  <c r="A42" i="3"/>
  <c r="B42" i="3"/>
  <c r="C42" i="3"/>
  <c r="D42" i="3"/>
  <c r="E42" i="3"/>
  <c r="F42" i="3"/>
  <c r="G42" i="3"/>
  <c r="A43" i="3"/>
  <c r="B43" i="3"/>
  <c r="C43" i="3"/>
  <c r="D43" i="3"/>
  <c r="E43" i="3"/>
  <c r="F43" i="3"/>
  <c r="G43" i="3"/>
  <c r="A44" i="3"/>
  <c r="B44" i="3"/>
  <c r="C44" i="3"/>
  <c r="D44" i="3"/>
  <c r="E44" i="3"/>
  <c r="G44" i="3"/>
  <c r="A45" i="3"/>
  <c r="B45" i="3"/>
  <c r="C45" i="3"/>
  <c r="D45" i="3"/>
  <c r="E45" i="3"/>
  <c r="F45" i="3"/>
  <c r="G45" i="3"/>
  <c r="A46" i="3"/>
  <c r="B46" i="3"/>
  <c r="C46" i="3"/>
  <c r="D46" i="3"/>
  <c r="E46" i="3"/>
  <c r="G46" i="3"/>
  <c r="A47" i="3"/>
  <c r="B47" i="3"/>
  <c r="C47" i="3"/>
  <c r="D47" i="3"/>
  <c r="E47" i="3"/>
  <c r="G47" i="3"/>
  <c r="A48" i="3"/>
  <c r="B48" i="3"/>
  <c r="C48" i="3"/>
  <c r="D48" i="3"/>
  <c r="E48" i="3"/>
  <c r="G48" i="3"/>
  <c r="A49" i="3"/>
  <c r="B49" i="3"/>
  <c r="C49" i="3"/>
  <c r="D49" i="3"/>
  <c r="E49" i="3"/>
  <c r="G49" i="3"/>
  <c r="A50" i="3"/>
  <c r="B50" i="3"/>
  <c r="C50" i="3"/>
  <c r="D50" i="3"/>
  <c r="E50" i="3"/>
  <c r="G50" i="3"/>
  <c r="A3" i="3"/>
  <c r="B3" i="3"/>
  <c r="C3" i="3"/>
  <c r="D3" i="3"/>
  <c r="E3" i="3"/>
  <c r="G3" i="3"/>
  <c r="A4" i="3"/>
  <c r="B4" i="3"/>
  <c r="C4" i="3"/>
  <c r="D4" i="3"/>
  <c r="E4" i="3"/>
  <c r="G4" i="3"/>
  <c r="A5" i="3"/>
  <c r="B5" i="3"/>
  <c r="C5" i="3"/>
  <c r="D5" i="3"/>
  <c r="E5" i="3"/>
  <c r="G5" i="3"/>
  <c r="A6" i="3"/>
  <c r="B6" i="3"/>
  <c r="C6" i="3"/>
  <c r="D6" i="3"/>
  <c r="E6" i="3"/>
  <c r="G6" i="3"/>
  <c r="A7" i="3"/>
  <c r="B7" i="3"/>
  <c r="C7" i="3"/>
  <c r="D7" i="3"/>
  <c r="E7" i="3"/>
  <c r="G7" i="3"/>
  <c r="A8" i="3"/>
  <c r="B8" i="3"/>
  <c r="C8" i="3"/>
  <c r="D8" i="3"/>
  <c r="E8" i="3"/>
  <c r="G8" i="3"/>
  <c r="A9" i="3"/>
  <c r="B9" i="3"/>
  <c r="C9" i="3"/>
  <c r="D9" i="3"/>
  <c r="E9" i="3"/>
  <c r="G9" i="3"/>
  <c r="A10" i="3"/>
  <c r="B10" i="3"/>
  <c r="C10" i="3"/>
  <c r="D10" i="3"/>
  <c r="E10" i="3"/>
  <c r="G10" i="3"/>
  <c r="A11" i="3"/>
  <c r="B11" i="3"/>
  <c r="C11" i="3"/>
  <c r="D11" i="3"/>
  <c r="E11" i="3"/>
  <c r="G11" i="3"/>
  <c r="A12" i="3"/>
  <c r="B12" i="3"/>
  <c r="C12" i="3"/>
  <c r="D12" i="3"/>
  <c r="E12" i="3"/>
  <c r="G12" i="3"/>
  <c r="A13" i="3"/>
  <c r="B13" i="3"/>
  <c r="C13" i="3"/>
  <c r="D13" i="3"/>
  <c r="E13" i="3"/>
  <c r="G13" i="3"/>
  <c r="A14" i="3"/>
  <c r="B14" i="3"/>
  <c r="C14" i="3"/>
  <c r="D14" i="3"/>
  <c r="E14" i="3"/>
  <c r="G14" i="3"/>
  <c r="A15" i="3"/>
  <c r="B15" i="3"/>
  <c r="C15" i="3"/>
  <c r="D15" i="3"/>
  <c r="E15" i="3"/>
  <c r="F15" i="3"/>
  <c r="G15" i="3"/>
  <c r="H15" i="3"/>
  <c r="A16" i="3"/>
  <c r="B16" i="3"/>
  <c r="C16" i="3"/>
  <c r="D16" i="3"/>
  <c r="E16" i="3"/>
  <c r="G16" i="3"/>
  <c r="A17" i="3"/>
  <c r="B17" i="3"/>
  <c r="C17" i="3"/>
  <c r="D17" i="3"/>
  <c r="E17" i="3"/>
  <c r="G17" i="3"/>
  <c r="A18" i="3"/>
  <c r="B18" i="3"/>
  <c r="C18" i="3"/>
  <c r="D18" i="3"/>
  <c r="E18" i="3"/>
  <c r="G18" i="3"/>
  <c r="A19" i="3"/>
  <c r="B19" i="3"/>
  <c r="C19" i="3"/>
  <c r="D19" i="3"/>
  <c r="E19" i="3"/>
  <c r="G19" i="3"/>
  <c r="A20" i="3"/>
  <c r="B20" i="3"/>
  <c r="C20" i="3"/>
  <c r="D20" i="3"/>
  <c r="E20" i="3"/>
  <c r="G20" i="3"/>
  <c r="A21" i="3"/>
  <c r="B21" i="3"/>
  <c r="C21" i="3"/>
  <c r="D21" i="3"/>
  <c r="E21" i="3"/>
  <c r="G21" i="3"/>
  <c r="A22" i="3"/>
  <c r="B22" i="3"/>
  <c r="C22" i="3"/>
  <c r="D22" i="3"/>
  <c r="E22" i="3"/>
  <c r="F22" i="3"/>
  <c r="G22" i="3"/>
  <c r="H22" i="3"/>
  <c r="A23" i="3"/>
  <c r="B23" i="3"/>
  <c r="C23" i="3"/>
  <c r="D23" i="3"/>
  <c r="E23" i="3"/>
  <c r="G23" i="3"/>
  <c r="A24" i="3"/>
  <c r="B24" i="3"/>
  <c r="C24" i="3"/>
  <c r="D24" i="3"/>
  <c r="E24" i="3"/>
  <c r="G24" i="3"/>
  <c r="A26" i="3"/>
  <c r="B26" i="3"/>
  <c r="C26" i="3"/>
  <c r="D26" i="3"/>
  <c r="E26" i="3"/>
  <c r="G26" i="3"/>
  <c r="A27" i="3"/>
  <c r="B27" i="3"/>
  <c r="C27" i="3"/>
  <c r="D27" i="3"/>
  <c r="E27" i="3"/>
  <c r="G27" i="3"/>
  <c r="B2" i="3"/>
  <c r="C2" i="3"/>
  <c r="D2" i="3"/>
  <c r="E2" i="3"/>
  <c r="F2" i="3"/>
  <c r="G2" i="3"/>
  <c r="H2" i="3"/>
  <c r="A2" i="3"/>
  <c r="F36" i="8"/>
  <c r="F86" i="3" s="1"/>
  <c r="F35" i="8"/>
  <c r="F85" i="3" s="1"/>
  <c r="F34" i="8"/>
  <c r="F84" i="3" s="1"/>
  <c r="G30" i="8"/>
  <c r="G80" i="3" s="1"/>
  <c r="F25" i="8"/>
  <c r="F75" i="3" s="1"/>
  <c r="G24" i="8"/>
  <c r="G74" i="3" s="1"/>
  <c r="F35" i="61"/>
  <c r="F35" i="3" s="1"/>
  <c r="F28" i="8" l="1"/>
  <c r="F78" i="3" s="1"/>
  <c r="F4" i="8"/>
  <c r="F6" i="8"/>
  <c r="F3" i="8"/>
  <c r="F27" i="61"/>
  <c r="F27" i="3" s="1"/>
  <c r="F24" i="61"/>
  <c r="F24" i="3" s="1"/>
  <c r="F23" i="61"/>
  <c r="F36" i="61"/>
  <c r="F36" i="3" s="1"/>
  <c r="D26" i="66"/>
  <c r="F32" i="61" s="1"/>
  <c r="F32" i="3" s="1"/>
  <c r="D25" i="66"/>
  <c r="F31" i="61" s="1"/>
  <c r="F31" i="3" s="1"/>
  <c r="D24" i="66"/>
  <c r="F30" i="61" s="1"/>
  <c r="F30" i="3" s="1"/>
  <c r="F29" i="61"/>
  <c r="F29" i="3" s="1"/>
  <c r="F21" i="61"/>
  <c r="F46" i="61" s="1"/>
  <c r="F46" i="3" s="1"/>
  <c r="F20" i="61"/>
  <c r="F20" i="3" s="1"/>
  <c r="F19" i="61"/>
  <c r="F18" i="61"/>
  <c r="F18" i="3" s="1"/>
  <c r="F17" i="61"/>
  <c r="F17" i="3" s="1"/>
  <c r="F14" i="61"/>
  <c r="F14" i="3" s="1"/>
  <c r="F13" i="61"/>
  <c r="F13" i="3" s="1"/>
  <c r="F10" i="61"/>
  <c r="F9" i="61"/>
  <c r="F9" i="3" s="1"/>
  <c r="F5" i="61"/>
  <c r="F3" i="61"/>
  <c r="F7" i="8" l="1"/>
  <c r="H7" i="8" s="1"/>
  <c r="H57" i="3" s="1"/>
  <c r="F33" i="61"/>
  <c r="F19" i="3"/>
  <c r="F44" i="61"/>
  <c r="F44" i="3" s="1"/>
  <c r="F23" i="3"/>
  <c r="F25" i="61"/>
  <c r="F32" i="8"/>
  <c r="F53" i="3"/>
  <c r="F5" i="8"/>
  <c r="F55" i="3" s="1"/>
  <c r="F21" i="3"/>
  <c r="F39" i="61"/>
  <c r="H6" i="8"/>
  <c r="H56" i="3" s="1"/>
  <c r="F56" i="3"/>
  <c r="F11" i="61"/>
  <c r="F11" i="3" s="1"/>
  <c r="F10" i="3"/>
  <c r="H4" i="8"/>
  <c r="H54" i="3" s="1"/>
  <c r="F54" i="3"/>
  <c r="F6" i="61"/>
  <c r="F6" i="3" s="1"/>
  <c r="F5" i="3"/>
  <c r="F50" i="61"/>
  <c r="F3" i="3"/>
  <c r="H52" i="61"/>
  <c r="H38" i="8"/>
  <c r="F1" i="13"/>
  <c r="F30" i="8"/>
  <c r="F31" i="8"/>
  <c r="F26" i="61"/>
  <c r="F26" i="3" s="1"/>
  <c r="F12" i="61"/>
  <c r="F7" i="61"/>
  <c r="F7" i="3" s="1"/>
  <c r="F8" i="61"/>
  <c r="F8" i="3" s="1"/>
  <c r="F4" i="61"/>
  <c r="F4" i="3" s="1"/>
  <c r="F16" i="8"/>
  <c r="F17" i="8"/>
  <c r="F67" i="3" s="1"/>
  <c r="F18" i="8"/>
  <c r="F68" i="3" s="1"/>
  <c r="F19" i="8"/>
  <c r="F69" i="3" s="1"/>
  <c r="F20" i="8"/>
  <c r="I28" i="67"/>
  <c r="J28" i="67"/>
  <c r="K28" i="67" l="1"/>
  <c r="F57" i="3"/>
  <c r="F27" i="8"/>
  <c r="F50" i="3"/>
  <c r="H50" i="61"/>
  <c r="H50" i="3" s="1"/>
  <c r="F24" i="8"/>
  <c r="F25" i="3"/>
  <c r="H25" i="61"/>
  <c r="H25" i="3" s="1"/>
  <c r="C49" i="66"/>
  <c r="D49" i="66" s="1"/>
  <c r="C47" i="66"/>
  <c r="F21" i="8" s="1"/>
  <c r="H20" i="8"/>
  <c r="H70" i="3" s="1"/>
  <c r="F70" i="3"/>
  <c r="H16" i="8"/>
  <c r="H66" i="3" s="1"/>
  <c r="F66" i="3"/>
  <c r="F11" i="8"/>
  <c r="F61" i="3" s="1"/>
  <c r="C16" i="66"/>
  <c r="F9" i="8"/>
  <c r="F59" i="3" s="1"/>
  <c r="F13" i="8"/>
  <c r="F63" i="3" s="1"/>
  <c r="C19" i="66"/>
  <c r="F14" i="8"/>
  <c r="C20" i="66"/>
  <c r="F12" i="8"/>
  <c r="F62" i="3" s="1"/>
  <c r="C17" i="66"/>
  <c r="F10" i="8"/>
  <c r="C14" i="66"/>
  <c r="F40" i="61"/>
  <c r="F40" i="3" s="1"/>
  <c r="F39" i="3"/>
  <c r="H31" i="8"/>
  <c r="H81" i="3" s="1"/>
  <c r="F81" i="3"/>
  <c r="F12" i="3"/>
  <c r="F47" i="61"/>
  <c r="F47" i="3" s="1"/>
  <c r="H30" i="8"/>
  <c r="H80" i="3" s="1"/>
  <c r="F80" i="3"/>
  <c r="H33" i="61"/>
  <c r="H33" i="3" s="1"/>
  <c r="F33" i="3"/>
  <c r="F41" i="61"/>
  <c r="F41" i="3" s="1"/>
  <c r="F37" i="61"/>
  <c r="F49" i="61"/>
  <c r="F49" i="3" s="1"/>
  <c r="F48" i="61"/>
  <c r="F48" i="3" s="1"/>
  <c r="H30" i="61"/>
  <c r="H30" i="3" s="1"/>
  <c r="H29" i="61"/>
  <c r="H29" i="3" s="1"/>
  <c r="F74" i="3" l="1"/>
  <c r="F23" i="8"/>
  <c r="F73" i="3" s="1"/>
  <c r="F26" i="8"/>
  <c r="F76" i="3" s="1"/>
  <c r="H24" i="8"/>
  <c r="H74" i="3" s="1"/>
  <c r="H21" i="8"/>
  <c r="H71" i="3" s="1"/>
  <c r="F71" i="3"/>
  <c r="H10" i="8"/>
  <c r="H60" i="3" s="1"/>
  <c r="F60" i="3"/>
  <c r="H14" i="8"/>
  <c r="H64" i="3" s="1"/>
  <c r="F64" i="3"/>
  <c r="H32" i="8"/>
  <c r="H82" i="3" s="1"/>
  <c r="F82" i="3"/>
  <c r="F33" i="8"/>
  <c r="F38" i="61"/>
  <c r="F38" i="3" s="1"/>
  <c r="F37" i="3"/>
  <c r="H9" i="61"/>
  <c r="H9" i="3" s="1"/>
  <c r="H33" i="8" l="1"/>
  <c r="H83" i="3" s="1"/>
  <c r="F83" i="3"/>
  <c r="H13" i="61"/>
  <c r="H13" i="3" s="1"/>
  <c r="H11" i="61"/>
  <c r="H11" i="3" s="1"/>
  <c r="H10" i="61" l="1"/>
  <c r="H10" i="3" s="1"/>
  <c r="H8" i="61" l="1"/>
  <c r="H8" i="3" s="1"/>
  <c r="H7" i="61"/>
  <c r="H7" i="3" s="1"/>
  <c r="H4" i="61"/>
  <c r="H4" i="3" s="1"/>
  <c r="H3" i="61"/>
  <c r="H3" i="3" s="1"/>
  <c r="H6" i="61" l="1"/>
  <c r="H6" i="3" s="1"/>
  <c r="H5" i="61" l="1"/>
  <c r="H5" i="3" s="1"/>
  <c r="H26" i="61"/>
  <c r="H26" i="3" s="1"/>
  <c r="H49" i="61"/>
  <c r="H49" i="3" s="1"/>
  <c r="H36" i="61"/>
  <c r="H36" i="3" s="1"/>
  <c r="H35" i="61"/>
  <c r="H35" i="3" s="1"/>
  <c r="F77" i="3" l="1"/>
  <c r="J92" i="68" l="1"/>
  <c r="F15" i="8" l="1"/>
  <c r="F65" i="3" s="1"/>
  <c r="C13" i="66"/>
  <c r="D12" i="66" s="1"/>
  <c r="G34" i="8"/>
  <c r="G84" i="3" s="1"/>
  <c r="E12" i="66" l="1"/>
  <c r="F12" i="66" s="1"/>
  <c r="D39" i="66"/>
  <c r="F16" i="61" s="1"/>
  <c r="H19" i="8"/>
  <c r="H69" i="3" s="1"/>
  <c r="H13" i="8"/>
  <c r="H63" i="3" s="1"/>
  <c r="H15" i="8"/>
  <c r="H65" i="3" s="1"/>
  <c r="H9" i="8"/>
  <c r="H59" i="3" s="1"/>
  <c r="F16" i="3" l="1"/>
  <c r="H16" i="61"/>
  <c r="H16" i="3" s="1"/>
  <c r="H17" i="8"/>
  <c r="H67" i="3" s="1"/>
  <c r="H31" i="61"/>
  <c r="H31" i="3" s="1"/>
  <c r="H32" i="61"/>
  <c r="H32" i="3" s="1"/>
  <c r="H36" i="8" l="1"/>
  <c r="H35" i="8"/>
  <c r="H85" i="3" s="1"/>
  <c r="H34" i="8"/>
  <c r="H84" i="3" s="1"/>
  <c r="H12" i="8"/>
  <c r="H62" i="3" s="1"/>
  <c r="H11" i="8"/>
  <c r="H61" i="3" s="1"/>
  <c r="H86" i="3" l="1"/>
  <c r="H18" i="8"/>
  <c r="H68" i="3" s="1"/>
  <c r="G27" i="8" l="1"/>
  <c r="G77" i="3" s="1"/>
  <c r="G28" i="8"/>
  <c r="G78" i="3" s="1"/>
  <c r="G25" i="8"/>
  <c r="G75" i="3" s="1"/>
  <c r="H5" i="8" l="1"/>
  <c r="H55" i="3" s="1"/>
  <c r="H26" i="8"/>
  <c r="H76" i="3" s="1"/>
  <c r="H27" i="61"/>
  <c r="H27" i="3" s="1"/>
  <c r="H23" i="61"/>
  <c r="H23" i="3" s="1"/>
  <c r="H48" i="61"/>
  <c r="H48" i="3" s="1"/>
  <c r="H47" i="61"/>
  <c r="H47" i="3" s="1"/>
  <c r="H46" i="61"/>
  <c r="H46" i="3" s="1"/>
  <c r="H45" i="61"/>
  <c r="H45" i="3" s="1"/>
  <c r="H44" i="61"/>
  <c r="H44" i="3" s="1"/>
  <c r="H43" i="61"/>
  <c r="H43" i="3" s="1"/>
  <c r="H42" i="61"/>
  <c r="H42" i="3" s="1"/>
  <c r="H40" i="61"/>
  <c r="H40" i="3" s="1"/>
  <c r="H41" i="61"/>
  <c r="H41" i="3" s="1"/>
  <c r="H39" i="61"/>
  <c r="H39" i="3" s="1"/>
  <c r="H38" i="61"/>
  <c r="H38" i="3" s="1"/>
  <c r="H37" i="61"/>
  <c r="H24" i="61"/>
  <c r="H24" i="3" s="1"/>
  <c r="H21" i="61"/>
  <c r="H21" i="3" s="1"/>
  <c r="H20" i="61"/>
  <c r="H20" i="3" s="1"/>
  <c r="H19" i="61"/>
  <c r="H19" i="3" s="1"/>
  <c r="H18" i="61"/>
  <c r="H18" i="3" s="1"/>
  <c r="H17" i="61"/>
  <c r="H17" i="3" s="1"/>
  <c r="H14" i="61"/>
  <c r="H14" i="3" s="1"/>
  <c r="H12" i="61"/>
  <c r="H12" i="3" s="1"/>
  <c r="H37" i="3" l="1"/>
  <c r="H51" i="61"/>
  <c r="I25" i="61" s="1"/>
  <c r="I19" i="61" l="1"/>
  <c r="I5" i="61"/>
  <c r="I9" i="61"/>
  <c r="I13" i="61"/>
  <c r="I18" i="61"/>
  <c r="I8" i="61"/>
  <c r="I12" i="61"/>
  <c r="I20" i="61"/>
  <c r="I6" i="61"/>
  <c r="I10" i="61"/>
  <c r="I14" i="61"/>
  <c r="I4" i="61"/>
  <c r="I17" i="61"/>
  <c r="I21" i="61"/>
  <c r="I7" i="61"/>
  <c r="I11" i="61"/>
  <c r="I33" i="61"/>
  <c r="I29" i="61"/>
  <c r="I30" i="61"/>
  <c r="I3" i="61"/>
  <c r="I26" i="61"/>
  <c r="I48" i="61"/>
  <c r="I49" i="61"/>
  <c r="I35" i="61"/>
  <c r="I36" i="61"/>
  <c r="I16" i="61"/>
  <c r="I31" i="61"/>
  <c r="I32" i="61"/>
  <c r="H53" i="61"/>
  <c r="I46" i="61"/>
  <c r="I44" i="61"/>
  <c r="I42" i="61"/>
  <c r="I41" i="61"/>
  <c r="I38" i="61"/>
  <c r="I47" i="61"/>
  <c r="I27" i="61"/>
  <c r="I39" i="61"/>
  <c r="I40" i="61"/>
  <c r="I23" i="61"/>
  <c r="I43" i="61"/>
  <c r="I24" i="61"/>
  <c r="I45" i="61"/>
  <c r="I37" i="61"/>
  <c r="I51" i="61" l="1"/>
  <c r="H25" i="8"/>
  <c r="H75" i="3" s="1"/>
  <c r="H27" i="8"/>
  <c r="H77" i="3" s="1"/>
  <c r="H23" i="8" l="1"/>
  <c r="H73" i="3" s="1"/>
  <c r="C3" i="13"/>
  <c r="B3" i="13"/>
  <c r="B4" i="13" l="1"/>
  <c r="C4" i="13"/>
  <c r="D3" i="13"/>
  <c r="D4" i="13" s="1"/>
  <c r="E135" i="3" l="1"/>
  <c r="E150" i="3" s="1"/>
  <c r="E134" i="3"/>
  <c r="E149" i="3" s="1"/>
  <c r="E133" i="3"/>
  <c r="E148" i="3" s="1"/>
  <c r="E132" i="3"/>
  <c r="E147" i="3" s="1"/>
  <c r="E131" i="3"/>
  <c r="E146" i="3" s="1"/>
  <c r="E130" i="3"/>
  <c r="E145" i="3" s="1"/>
  <c r="E129" i="3"/>
  <c r="E144" i="3" s="1"/>
  <c r="E128" i="3"/>
  <c r="E143" i="3" s="1"/>
  <c r="E127" i="3"/>
  <c r="E142" i="3" s="1"/>
  <c r="E126" i="3"/>
  <c r="E141" i="3" s="1"/>
  <c r="E125" i="3"/>
  <c r="E140" i="3" s="1"/>
  <c r="E124" i="3"/>
  <c r="E139" i="3" s="1"/>
  <c r="E123" i="3"/>
  <c r="E138" i="3" s="1"/>
  <c r="E122" i="3"/>
  <c r="E137" i="3" s="1"/>
  <c r="E121" i="3"/>
  <c r="E136" i="3" s="1"/>
  <c r="H28" i="8"/>
  <c r="H78" i="3" s="1"/>
  <c r="H3" i="8"/>
  <c r="H53" i="3" s="1"/>
  <c r="H37" i="8" l="1"/>
  <c r="H87" i="3"/>
  <c r="I87" i="3" l="1"/>
  <c r="I88" i="3" s="1"/>
  <c r="I7" i="8"/>
  <c r="I30" i="8"/>
  <c r="I31" i="8"/>
  <c r="I32" i="8"/>
  <c r="I33" i="8"/>
  <c r="I21" i="8"/>
  <c r="I24" i="8"/>
  <c r="I16" i="8"/>
  <c r="I20" i="8"/>
  <c r="I10" i="8"/>
  <c r="I14" i="8"/>
  <c r="I13" i="8"/>
  <c r="I4" i="8"/>
  <c r="I6" i="8"/>
  <c r="I27" i="8"/>
  <c r="I5" i="8"/>
  <c r="I12" i="8"/>
  <c r="I34" i="8"/>
  <c r="I28" i="8"/>
  <c r="I18" i="8"/>
  <c r="I11" i="8"/>
  <c r="I23" i="8"/>
  <c r="I26" i="8"/>
  <c r="I36" i="8"/>
  <c r="I9" i="8"/>
  <c r="I3" i="8"/>
  <c r="I25" i="8"/>
  <c r="I35" i="8"/>
  <c r="I19" i="8"/>
  <c r="I15" i="8"/>
  <c r="I17" i="8"/>
  <c r="H39" i="8"/>
  <c r="I37" i="8" l="1"/>
</calcChain>
</file>

<file path=xl/sharedStrings.xml><?xml version="1.0" encoding="utf-8"?>
<sst xmlns="http://schemas.openxmlformats.org/spreadsheetml/2006/main" count="591" uniqueCount="263">
  <si>
    <t>AREA:  Fulton Ridge Drive, Indian Trail, Union County, NC, USA</t>
  </si>
  <si>
    <t>1. OVERVIEW</t>
  </si>
  <si>
    <t>UNIT</t>
  </si>
  <si>
    <t>QTY</t>
  </si>
  <si>
    <t>Number of Household Passed</t>
  </si>
  <si>
    <t>Total Units</t>
  </si>
  <si>
    <t>Single Dwelling Units</t>
  </si>
  <si>
    <t>pcs</t>
  </si>
  <si>
    <t>Townhome Buildings with 4 or Less Units</t>
  </si>
  <si>
    <t>Townhome Units for Buildings with 4 or less Units</t>
  </si>
  <si>
    <t>Townhome/Apartment Buildings with 5 to 12 Units</t>
  </si>
  <si>
    <t>Townhome/Apartment Units for Buildings with 5 to 12 Units</t>
  </si>
  <si>
    <t>Commercial Units</t>
  </si>
  <si>
    <t>Total Units to be Connected</t>
  </si>
  <si>
    <t>2. CIVIL WORKS</t>
  </si>
  <si>
    <t>Open Trench</t>
  </si>
  <si>
    <t>Microduct Footage in Trench</t>
  </si>
  <si>
    <t>ft</t>
  </si>
  <si>
    <t>Additional Microducts in Same Trench</t>
  </si>
  <si>
    <t>Horizontal Directional Drilling (HDD)</t>
  </si>
  <si>
    <t>Microduct Footage in HDD</t>
  </si>
  <si>
    <t>Additional Microducts in Same HDD</t>
  </si>
  <si>
    <t>Placement of Microduct in Existing Conduit</t>
  </si>
  <si>
    <t>Microduct Footage in Existing Conduit</t>
  </si>
  <si>
    <t>Additional Microducts in Same Existing Conduit</t>
  </si>
  <si>
    <t>3. MATERIALS</t>
  </si>
  <si>
    <t>Air blown Fiber</t>
  </si>
  <si>
    <t>Plus 10%</t>
  </si>
  <si>
    <t>2F</t>
  </si>
  <si>
    <t>4F</t>
  </si>
  <si>
    <t>8F</t>
  </si>
  <si>
    <t>12F</t>
  </si>
  <si>
    <t xml:space="preserve">Cabinets and Branch closures </t>
  </si>
  <si>
    <t>FDH Pedestal - 48 End user</t>
  </si>
  <si>
    <t>FDH Pedestal - 96 End user</t>
  </si>
  <si>
    <t>FDH Cabinet - 96 End user</t>
  </si>
  <si>
    <t>FDH Cabinet - 288 End user</t>
  </si>
  <si>
    <t>Install 1:32 splitter (short tail)</t>
  </si>
  <si>
    <t>Install 1:32 splitter (long tail)</t>
  </si>
  <si>
    <t>Duct Branch Closure (DBC- 4Way)</t>
  </si>
  <si>
    <t>Duct Branch Closure (DBC- 8Way)</t>
  </si>
  <si>
    <t>Flower Pot (Toby Box)</t>
  </si>
  <si>
    <t>Fiber Termination Box (4 port)</t>
  </si>
  <si>
    <t>Microducts</t>
  </si>
  <si>
    <t>Plus 8%</t>
  </si>
  <si>
    <t>1 x 7/3.5 Single Microduct</t>
  </si>
  <si>
    <t>4 x 7/3.5  Multiduct</t>
  </si>
  <si>
    <t>7 x 7/3.5  Multiduct</t>
  </si>
  <si>
    <t>12 x 7/3.5 Multiduct</t>
  </si>
  <si>
    <t>19 x 7/3.5  Multiduct</t>
  </si>
  <si>
    <t>24 x 7/3.5  Multiduct</t>
  </si>
  <si>
    <t>4. CUSTOMER</t>
  </si>
  <si>
    <t>Customer Trench</t>
  </si>
  <si>
    <t>Property Line to ONT</t>
  </si>
  <si>
    <t>Customer Ducts</t>
  </si>
  <si>
    <t>2.1 CIVIL WORKS</t>
  </si>
  <si>
    <t>Pits</t>
  </si>
  <si>
    <t>Amount of pits in the area</t>
  </si>
  <si>
    <t>3.1 MATERIALS</t>
  </si>
  <si>
    <t>Traditional Duct</t>
  </si>
  <si>
    <t>2" Duct in HDD</t>
  </si>
  <si>
    <t>4" Duct in HDD</t>
  </si>
  <si>
    <t>FAT64</t>
  </si>
  <si>
    <t>Duct Access Point (DAP)</t>
  </si>
  <si>
    <t>Duct Access Point (DAP- 1Way)</t>
  </si>
  <si>
    <t>Duct Access Point (DAP- 2Way)</t>
  </si>
  <si>
    <t>Duct Access Point (DAP- 3Way)</t>
  </si>
  <si>
    <t>Duct Access Point (DAP- 4Way)</t>
  </si>
  <si>
    <t>1 x 14/10 Microduct</t>
  </si>
  <si>
    <t>1 x 16/12  Multiduct</t>
  </si>
  <si>
    <t>Micro Cables</t>
  </si>
  <si>
    <t>72F</t>
  </si>
  <si>
    <t>144F</t>
  </si>
  <si>
    <t>288F</t>
  </si>
  <si>
    <t>Duct Access Point (DAP- 6Way)</t>
  </si>
  <si>
    <t>Product Number</t>
  </si>
  <si>
    <t>Product Description</t>
  </si>
  <si>
    <t>Pack</t>
  </si>
  <si>
    <t>Unit</t>
  </si>
  <si>
    <t>Qty</t>
  </si>
  <si>
    <t>Unit Price</t>
  </si>
  <si>
    <t>Extended Price</t>
  </si>
  <si>
    <t>% of Total</t>
  </si>
  <si>
    <t>FDH and FAT</t>
  </si>
  <si>
    <t>NCD507500</t>
  </si>
  <si>
    <t>FDH 48 for pedestal use</t>
  </si>
  <si>
    <t>HSXA136107/2</t>
  </si>
  <si>
    <t>Mounting bracket kit for NCD507</t>
  </si>
  <si>
    <t>3/NBD116200/1</t>
  </si>
  <si>
    <t>FDH 96 for pedestal use</t>
  </si>
  <si>
    <t>HSXA136107/3</t>
  </si>
  <si>
    <t xml:space="preserve">Mounting Bracket kit for 3/NBD116200/1 </t>
  </si>
  <si>
    <t>HSXA136107/1</t>
  </si>
  <si>
    <t>12" Pedestal in ground expanded</t>
  </si>
  <si>
    <t>HSXA136107/4</t>
  </si>
  <si>
    <t>Stake mounting assembly 42"</t>
  </si>
  <si>
    <t>HNA00005</t>
  </si>
  <si>
    <t>FDH 96 cabinet with backboard and adapters</t>
  </si>
  <si>
    <t>2/NBD116200/1</t>
  </si>
  <si>
    <t>FDH Street  Cabinet, BASIC EMPTY / 288 FDH</t>
  </si>
  <si>
    <t>NBL9012001/1</t>
  </si>
  <si>
    <t xml:space="preserve">FIBER ADAPTER TRAY ( EMPTY)             </t>
  </si>
  <si>
    <t>RNT99210/24</t>
  </si>
  <si>
    <t>Adapter SC/APC with shutter, no flange</t>
  </si>
  <si>
    <t>RDJ901200/29</t>
  </si>
  <si>
    <t>1:32 splitter, SC/APC, 180/730mm</t>
  </si>
  <si>
    <t>RDJ901200/33</t>
  </si>
  <si>
    <t>1:32 splitter, SC/APC, 900/1500mm</t>
  </si>
  <si>
    <t>Microduct - Feeder and Distribution</t>
  </si>
  <si>
    <t>MPB302441UV</t>
  </si>
  <si>
    <t>Microduct, 5/3,5mm 1-way, direct buried, TW</t>
  </si>
  <si>
    <t>1640 ft to 6560 ft</t>
  </si>
  <si>
    <t>MPB302444UV</t>
  </si>
  <si>
    <t>Microduct, 5/3,5mm 4-way, direct buried, TW</t>
  </si>
  <si>
    <t>MPB302447UV</t>
  </si>
  <si>
    <t>Microduct, 5/3,5mm 7-way, direct buried, TW</t>
  </si>
  <si>
    <t>MPB3024412UV</t>
  </si>
  <si>
    <t>Microduct, 5/3,5mm 12-way, direct buried, TW</t>
  </si>
  <si>
    <t>MPB3024419UV</t>
  </si>
  <si>
    <t>Microduct, 5/3,5mm 19-way, direct buried, TW</t>
  </si>
  <si>
    <t>MPB3024424UV</t>
  </si>
  <si>
    <t>Microduct, 5/3,5mm 24-way, direct buried, TW</t>
  </si>
  <si>
    <t>1640 ft to 3280 ft</t>
  </si>
  <si>
    <t>Duct Joint Closures</t>
  </si>
  <si>
    <t>3/NDE451200</t>
  </si>
  <si>
    <t>Duct branch off closure, small - 4 port</t>
  </si>
  <si>
    <t>3/NDE451200/1</t>
  </si>
  <si>
    <t>Duct branch off closure, small - 8 port</t>
  </si>
  <si>
    <t>NDE45125/171</t>
  </si>
  <si>
    <t>Straight Joint 367-40mm (24 - 19 way) Black end caps</t>
  </si>
  <si>
    <t>MPB32000/2</t>
  </si>
  <si>
    <t>Hexatronic marker pegs</t>
  </si>
  <si>
    <t>TBD</t>
  </si>
  <si>
    <t>Toby Box (flower pot) at property line</t>
  </si>
  <si>
    <t>Air Blown Fiber ( ABF)</t>
  </si>
  <si>
    <t>KRPM258019/xxxxM</t>
  </si>
  <si>
    <t>ABF STINGRAY 2 FIBER G657 BOX</t>
  </si>
  <si>
    <t>1000M to 6000M</t>
  </si>
  <si>
    <t>KRPM258022/xxxxM</t>
  </si>
  <si>
    <t>ABF Stingray 4xG657A2 TIA598 PAN</t>
  </si>
  <si>
    <t>2000M to 6000M</t>
  </si>
  <si>
    <t>KRPM258034/xxxxM</t>
  </si>
  <si>
    <t>ABF Stingray 8xG657A2 TIA598 PAN</t>
  </si>
  <si>
    <t>1000M to 4000M</t>
  </si>
  <si>
    <t>KRPM258044/xxxxM</t>
  </si>
  <si>
    <t>ABF Stingray 12xG657A2 TIA598 PAN</t>
  </si>
  <si>
    <t>TSR3950426/2000</t>
  </si>
  <si>
    <t>Pigtail SM (0.9 mm), SC/APC - open end, G657A2, 2 m, Yellow</t>
  </si>
  <si>
    <t>Accessories (required)</t>
  </si>
  <si>
    <t>5/NEG203200</t>
  </si>
  <si>
    <t>Fiber Termination Box, Indoor/Outdoor for up to 2xSC Duplex cut-out</t>
  </si>
  <si>
    <t>RNT99211/22</t>
  </si>
  <si>
    <t>Adapter SC/APC duplex, ceramic, snap-in and flange mount, Green</t>
  </si>
  <si>
    <t>MPB30601/2</t>
  </si>
  <si>
    <t>100xConnector, 5/3.5mm Standard</t>
  </si>
  <si>
    <t>pack</t>
  </si>
  <si>
    <t>SXA1139137/132</t>
  </si>
  <si>
    <t>100xMicroduct End Stop, 5mm Easy Connect</t>
  </si>
  <si>
    <t>MPB30601/102</t>
  </si>
  <si>
    <t>100xConnector,10/8mm Standard</t>
  </si>
  <si>
    <t>SXA1139137/142</t>
  </si>
  <si>
    <t>100xEndstop Connector, 10mm Easy Connect</t>
  </si>
  <si>
    <t>MPB30609/10</t>
  </si>
  <si>
    <t>End Cap 10 mm</t>
  </si>
  <si>
    <t>SRS10617/01</t>
  </si>
  <si>
    <t>100xEnd Sleeve for 10-16 mm</t>
  </si>
  <si>
    <t>SRS10617/02</t>
  </si>
  <si>
    <t>100xEnd Sleeve for 15-21 mm</t>
  </si>
  <si>
    <t>SRS10617/03</t>
  </si>
  <si>
    <t>50xEnd sleeve for 21-29 mm</t>
  </si>
  <si>
    <t>SRS10617/04</t>
  </si>
  <si>
    <t>20xEnd Sleeve for 29-38 mm</t>
  </si>
  <si>
    <t>SRS10617/05</t>
  </si>
  <si>
    <t>10xEnd Sleeve for 38-45 mm</t>
  </si>
  <si>
    <t>NDK12103</t>
  </si>
  <si>
    <t>100xMicroduct End Caps, Strain Relief, 5mm</t>
  </si>
  <si>
    <t>NTM50207</t>
  </si>
  <si>
    <t>100xCleaning Sponges 3.5mm</t>
  </si>
  <si>
    <t>NTK102245/1</t>
  </si>
  <si>
    <t>100xBlowing Beads, 1-4f</t>
  </si>
  <si>
    <t>NTK102245/2</t>
  </si>
  <si>
    <t>Blowing Bead Ribbonet 8/12 fibers (100 pcs)</t>
  </si>
  <si>
    <t>Total Material</t>
  </si>
  <si>
    <t>Households Passed</t>
  </si>
  <si>
    <t>$ per Households Passed</t>
  </si>
  <si>
    <t>Construction Category</t>
  </si>
  <si>
    <t>Construction Description</t>
  </si>
  <si>
    <t>Time per Item (minutes)</t>
  </si>
  <si>
    <t>Hourly Rate</t>
  </si>
  <si>
    <t>FDH</t>
  </si>
  <si>
    <t>MCA</t>
  </si>
  <si>
    <t>FDH Installation</t>
  </si>
  <si>
    <t>FDH pedestal mounted, add adapters and gravel</t>
  </si>
  <si>
    <t>each</t>
  </si>
  <si>
    <t>LOE</t>
  </si>
  <si>
    <t>FDH cabinet mounted, add adapters and pour pad</t>
  </si>
  <si>
    <t>Prep microduct and terminate in FDH</t>
  </si>
  <si>
    <t>Install and label 1:32 splitter, SC/APC</t>
  </si>
  <si>
    <t>Install ground rod including material (if required)</t>
  </si>
  <si>
    <t>Ribbonet Microduct - Existing Conduit</t>
  </si>
  <si>
    <t>Multiduct Placement</t>
  </si>
  <si>
    <t>Multiduct placed in trench</t>
  </si>
  <si>
    <t>Additional multiduct placed along with first multiduct in trench</t>
  </si>
  <si>
    <t>Horizontal Directional Drill up to 2" OD for multiduct</t>
  </si>
  <si>
    <t>Additional multiduct placed along with first multiduct in HDD</t>
  </si>
  <si>
    <t>Place multiduct in existing conduit</t>
  </si>
  <si>
    <t>Additional multiduct placed along with first multiduct in existing conduit</t>
  </si>
  <si>
    <t>Single Duct Placement</t>
  </si>
  <si>
    <t>Drop duct placed in trench in right of way</t>
  </si>
  <si>
    <t>Additional drop duct placed along with first drop duct or multiduct in trench</t>
  </si>
  <si>
    <t>Horizontal Directional Drill for drops up to 2" OD</t>
  </si>
  <si>
    <t>Additional drop duct placed along with first drop duct or multiduct in HDD</t>
  </si>
  <si>
    <t>Place drop duct in existing conduit</t>
  </si>
  <si>
    <t>Additional drop duct placed along with first drop duct or multiduct in existing conduit</t>
  </si>
  <si>
    <t>Drop duct placed in trench from right of way to fiber termination box</t>
  </si>
  <si>
    <t>Duct Branch Off Locations</t>
  </si>
  <si>
    <t>DBC Installation</t>
  </si>
  <si>
    <t>Pit for the placement of duct branch closures</t>
  </si>
  <si>
    <t>Install duct branch closure and connectors per location - 4 port</t>
  </si>
  <si>
    <t>Install duct branch closure and connectors per location - 8 port</t>
  </si>
  <si>
    <t>Install locate marker excluding material</t>
  </si>
  <si>
    <t>Microduct verification and labeling per microduct</t>
  </si>
  <si>
    <t>Install Toby Box (flower pot) and terminate drop</t>
  </si>
  <si>
    <t>Fiber and Splicing</t>
  </si>
  <si>
    <t>F2 Fiber Installation</t>
  </si>
  <si>
    <t>Air Blow Fiber from FDH to FDH</t>
  </si>
  <si>
    <t>F2 Fiber Splicing</t>
  </si>
  <si>
    <t>Splice setup fee at each FDH</t>
  </si>
  <si>
    <t>Splice fibers at each FDH</t>
  </si>
  <si>
    <t>F2 Fiber Spicing</t>
  </si>
  <si>
    <t>OTDR test of fiber between FDHs</t>
  </si>
  <si>
    <t>Air Blow Fiber from FTB to FDH</t>
  </si>
  <si>
    <t>Splice fibers at each FTB and FDH</t>
  </si>
  <si>
    <t>Total Labor</t>
  </si>
  <si>
    <t>Phase</t>
  </si>
  <si>
    <t>Section</t>
  </si>
  <si>
    <t>Duct Count</t>
  </si>
  <si>
    <t>Multiduct in Open Trench</t>
  </si>
  <si>
    <t>Additional Multiduct in Same Open Trench</t>
  </si>
  <si>
    <t>Multiduct in HDD</t>
  </si>
  <si>
    <t>Additional Multiduct in Same  HDD</t>
  </si>
  <si>
    <t>Multiduct in Existing Conduit</t>
  </si>
  <si>
    <t>Additional Multiduct in Same Existing Conduit</t>
  </si>
  <si>
    <t>Totals</t>
  </si>
  <si>
    <t xml:space="preserve">Address </t>
  </si>
  <si>
    <t>Drop in Open Trench to Property Line</t>
  </si>
  <si>
    <t>Additional drop in Open Trench to Property Line</t>
  </si>
  <si>
    <t>Drop in HDD</t>
  </si>
  <si>
    <t>Additional drop in HDD</t>
  </si>
  <si>
    <t>Drop in Existing Conduit</t>
  </si>
  <si>
    <t>Additional drop in Same Existing Conduit</t>
  </si>
  <si>
    <t>Total</t>
  </si>
  <si>
    <t>Project Summary</t>
  </si>
  <si>
    <t>Financial Breakdown</t>
  </si>
  <si>
    <t>Material</t>
  </si>
  <si>
    <t>Construction</t>
  </si>
  <si>
    <t>Total Capital Upfront:</t>
  </si>
  <si>
    <t>$ per HH</t>
  </si>
  <si>
    <t>Sum of Extended Price</t>
  </si>
  <si>
    <t>Category</t>
  </si>
  <si>
    <t>Grand Total</t>
  </si>
  <si>
    <t>Installation</t>
  </si>
  <si>
    <t>Total Material and Labor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</si>
</sst>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#,###,###,##0"/>
    <numFmt numFmtId="167" formatCode="_-* #,##0.00\ _k_r_-;\-* #,##0.00\ _k_r_-;_-* &quot;-&quot;??\ _k_r_-;_-@_-"/>
  </numFmts>
  <fonts count="45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b/>
      <sz val="12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8"/>
      <color indexed="8"/>
      <name val="Calibri"/>
      <family val="2"/>
    </font>
    <font>
      <b/>
      <sz val="11"/>
      <color indexed="8"/>
      <name val="Calibri"/>
      <family val="2"/>
    </font>
    <font>
      <sz val="18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u/>
      <sz val="10"/>
      <color theme="10"/>
      <name val="Arial"/>
      <family val="2"/>
    </font>
    <font>
      <b/>
      <sz val="12"/>
      <color theme="0"/>
      <name val="Calibri"/>
      <family val="2"/>
    </font>
    <font>
      <b/>
      <sz val="12"/>
      <color theme="0" tint="-0.34998626667073579"/>
      <name val="Calibri"/>
      <family val="2"/>
    </font>
    <font>
      <sz val="8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899990844447157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</borders>
  <cellStyleXfs count="50">
    <xf numFmtId="0" fontId="0" fillId="0" borderId="0"/>
    <xf numFmtId="0" fontId="9" fillId="0" borderId="0"/>
    <xf numFmtId="0" fontId="11" fillId="0" borderId="0"/>
    <xf numFmtId="9" fontId="12" fillId="0" borderId="0" applyFont="0" applyFill="0" applyBorder="0" applyAlignment="0" applyProtection="0"/>
    <xf numFmtId="166" fontId="10" fillId="0" borderId="0" applyFill="0" applyBorder="0">
      <alignment horizontal="right"/>
    </xf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8" applyNumberFormat="0" applyAlignment="0" applyProtection="0"/>
    <xf numFmtId="0" fontId="24" fillId="9" borderId="9" applyNumberFormat="0" applyAlignment="0" applyProtection="0"/>
    <xf numFmtId="0" fontId="25" fillId="9" borderId="8" applyNumberFormat="0" applyAlignment="0" applyProtection="0"/>
    <xf numFmtId="0" fontId="26" fillId="0" borderId="10" applyNumberFormat="0" applyFill="0" applyAlignment="0" applyProtection="0"/>
    <xf numFmtId="0" fontId="27" fillId="10" borderId="11" applyNumberFormat="0" applyAlignment="0" applyProtection="0"/>
    <xf numFmtId="0" fontId="28" fillId="0" borderId="0" applyNumberFormat="0" applyFill="0" applyBorder="0" applyAlignment="0" applyProtection="0"/>
    <xf numFmtId="0" fontId="12" fillId="11" borderId="12" applyNumberFormat="0" applyFont="0" applyAlignment="0" applyProtection="0"/>
    <xf numFmtId="0" fontId="29" fillId="0" borderId="0" applyNumberFormat="0" applyFill="0" applyBorder="0" applyAlignment="0" applyProtection="0"/>
    <xf numFmtId="0" fontId="13" fillId="0" borderId="13" applyNumberFormat="0" applyFill="0" applyAlignment="0" applyProtection="0"/>
    <xf numFmtId="0" fontId="3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3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30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30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30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0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9" fillId="0" borderId="0"/>
    <xf numFmtId="0" fontId="9" fillId="0" borderId="0"/>
    <xf numFmtId="167" fontId="12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208">
    <xf numFmtId="0" fontId="0" fillId="0" borderId="0" xfId="0"/>
    <xf numFmtId="16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vertical="center"/>
    </xf>
    <xf numFmtId="1" fontId="7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3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3" borderId="1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32" fillId="42" borderId="1" xfId="0" applyFont="1" applyFill="1" applyBorder="1" applyAlignment="1" applyProtection="1">
      <alignment horizontal="center" vertical="center"/>
      <protection locked="0"/>
    </xf>
    <xf numFmtId="164" fontId="13" fillId="37" borderId="1" xfId="0" applyNumberFormat="1" applyFont="1" applyFill="1" applyBorder="1" applyAlignment="1">
      <alignment vertical="center"/>
    </xf>
    <xf numFmtId="3" fontId="1" fillId="0" borderId="1" xfId="0" applyNumberFormat="1" applyFont="1" applyBorder="1" applyAlignment="1">
      <alignment horizontal="center" vertical="center" wrapText="1"/>
    </xf>
    <xf numFmtId="3" fontId="5" fillId="2" borderId="4" xfId="0" applyNumberFormat="1" applyFont="1" applyFill="1" applyBorder="1" applyAlignment="1">
      <alignment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0" fontId="36" fillId="0" borderId="0" xfId="0" applyFont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" fontId="1" fillId="3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center" vertical="center" wrapText="1"/>
    </xf>
    <xf numFmtId="4" fontId="1" fillId="0" borderId="0" xfId="0" applyNumberFormat="1" applyFont="1" applyAlignment="1">
      <alignment horizontal="center" vertical="center" wrapText="1"/>
    </xf>
    <xf numFmtId="4" fontId="4" fillId="0" borderId="0" xfId="0" applyNumberFormat="1" applyFont="1" applyAlignment="1">
      <alignment vertical="center"/>
    </xf>
    <xf numFmtId="0" fontId="7" fillId="45" borderId="1" xfId="0" applyFont="1" applyFill="1" applyBorder="1" applyAlignment="1">
      <alignment vertical="center" wrapText="1"/>
    </xf>
    <xf numFmtId="4" fontId="7" fillId="45" borderId="1" xfId="0" applyNumberFormat="1" applyFont="1" applyFill="1" applyBorder="1" applyAlignment="1">
      <alignment vertical="center" wrapText="1"/>
    </xf>
    <xf numFmtId="1" fontId="7" fillId="45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7" fillId="45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4" fontId="4" fillId="46" borderId="1" xfId="0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164" fontId="7" fillId="0" borderId="1" xfId="0" applyNumberFormat="1" applyFont="1" applyBorder="1" applyAlignment="1">
      <alignment vertical="center"/>
    </xf>
    <xf numFmtId="3" fontId="7" fillId="0" borderId="1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vertical="center" wrapText="1"/>
    </xf>
    <xf numFmtId="164" fontId="7" fillId="39" borderId="1" xfId="0" applyNumberFormat="1" applyFont="1" applyFill="1" applyBorder="1" applyAlignment="1">
      <alignment vertical="center"/>
    </xf>
    <xf numFmtId="165" fontId="7" fillId="0" borderId="1" xfId="3" applyNumberFormat="1" applyFont="1" applyBorder="1" applyAlignment="1">
      <alignment horizontal="center" vertical="center"/>
    </xf>
    <xf numFmtId="0" fontId="12" fillId="0" borderId="0" xfId="0" applyFont="1" applyAlignment="1" applyProtection="1">
      <alignment vertical="center"/>
      <protection locked="0"/>
    </xf>
    <xf numFmtId="1" fontId="0" fillId="0" borderId="1" xfId="0" applyNumberForma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4" fillId="36" borderId="1" xfId="0" applyFont="1" applyFill="1" applyBorder="1" applyAlignment="1" applyProtection="1">
      <alignment horizontal="center" vertical="center"/>
      <protection locked="0"/>
    </xf>
    <xf numFmtId="0" fontId="33" fillId="43" borderId="1" xfId="0" applyFont="1" applyFill="1" applyBorder="1" applyAlignment="1" applyProtection="1">
      <alignment horizontal="center" vertical="center"/>
      <protection locked="0"/>
    </xf>
    <xf numFmtId="0" fontId="32" fillId="40" borderId="1" xfId="0" applyFont="1" applyFill="1" applyBorder="1" applyAlignment="1" applyProtection="1">
      <alignment horizontal="center" vertical="center"/>
      <protection locked="0"/>
    </xf>
    <xf numFmtId="0" fontId="33" fillId="39" borderId="1" xfId="0" applyFont="1" applyFill="1" applyBorder="1" applyAlignment="1" applyProtection="1">
      <alignment horizontal="center" vertical="center"/>
      <protection locked="0"/>
    </xf>
    <xf numFmtId="0" fontId="32" fillId="38" borderId="1" xfId="0" applyFont="1" applyFill="1" applyBorder="1" applyAlignment="1" applyProtection="1">
      <alignment horizontal="center" vertical="center"/>
      <protection locked="0"/>
    </xf>
    <xf numFmtId="0" fontId="32" fillId="37" borderId="1" xfId="0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vertical="center"/>
    </xf>
    <xf numFmtId="0" fontId="37" fillId="44" borderId="1" xfId="0" applyFont="1" applyFill="1" applyBorder="1" applyAlignment="1" applyProtection="1">
      <alignment horizontal="center" vertical="center"/>
      <protection locked="0"/>
    </xf>
    <xf numFmtId="0" fontId="34" fillId="36" borderId="1" xfId="0" applyFont="1" applyFill="1" applyBorder="1" applyAlignment="1" applyProtection="1">
      <alignment vertical="center"/>
      <protection locked="0"/>
    </xf>
    <xf numFmtId="0" fontId="33" fillId="43" borderId="1" xfId="0" applyFont="1" applyFill="1" applyBorder="1" applyAlignment="1" applyProtection="1">
      <alignment vertical="center" wrapText="1"/>
      <protection locked="0"/>
    </xf>
    <xf numFmtId="0" fontId="32" fillId="42" borderId="1" xfId="0" applyFont="1" applyFill="1" applyBorder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vertical="center" wrapText="1"/>
      <protection locked="0"/>
    </xf>
    <xf numFmtId="0" fontId="32" fillId="40" borderId="1" xfId="0" applyFont="1" applyFill="1" applyBorder="1" applyAlignment="1" applyProtection="1">
      <alignment vertical="center"/>
      <protection locked="0"/>
    </xf>
    <xf numFmtId="0" fontId="33" fillId="39" borderId="1" xfId="0" applyFont="1" applyFill="1" applyBorder="1" applyAlignment="1" applyProtection="1">
      <alignment vertical="center" wrapText="1"/>
      <protection locked="0"/>
    </xf>
    <xf numFmtId="0" fontId="32" fillId="38" borderId="1" xfId="0" applyFont="1" applyFill="1" applyBorder="1" applyAlignment="1" applyProtection="1">
      <alignment vertical="center"/>
      <protection locked="0"/>
    </xf>
    <xf numFmtId="0" fontId="33" fillId="41" borderId="1" xfId="0" applyFont="1" applyFill="1" applyBorder="1" applyAlignment="1" applyProtection="1">
      <alignment horizontal="left" vertical="center" wrapText="1"/>
      <protection locked="0"/>
    </xf>
    <xf numFmtId="0" fontId="32" fillId="37" borderId="1" xfId="0" applyFont="1" applyFill="1" applyBorder="1" applyAlignment="1" applyProtection="1">
      <alignment vertical="center"/>
      <protection locked="0"/>
    </xf>
    <xf numFmtId="3" fontId="12" fillId="0" borderId="0" xfId="0" applyNumberFormat="1" applyFont="1" applyAlignment="1" applyProtection="1">
      <alignment vertical="center"/>
      <protection locked="0"/>
    </xf>
    <xf numFmtId="1" fontId="43" fillId="0" borderId="0" xfId="0" applyNumberFormat="1" applyFont="1" applyAlignment="1">
      <alignment horizontal="center" vertical="center"/>
    </xf>
    <xf numFmtId="0" fontId="32" fillId="48" borderId="1" xfId="0" applyFont="1" applyFill="1" applyBorder="1" applyAlignment="1" applyProtection="1">
      <alignment vertical="center"/>
      <protection locked="0"/>
    </xf>
    <xf numFmtId="0" fontId="32" fillId="48" borderId="1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3" fontId="37" fillId="44" borderId="1" xfId="0" applyNumberFormat="1" applyFont="1" applyFill="1" applyBorder="1" applyAlignment="1" applyProtection="1">
      <alignment horizontal="center" vertical="center"/>
      <protection locked="0"/>
    </xf>
    <xf numFmtId="3" fontId="36" fillId="0" borderId="0" xfId="0" applyNumberFormat="1" applyFont="1" applyAlignment="1" applyProtection="1">
      <alignment vertical="center"/>
      <protection locked="0"/>
    </xf>
    <xf numFmtId="3" fontId="34" fillId="36" borderId="1" xfId="0" applyNumberFormat="1" applyFont="1" applyFill="1" applyBorder="1" applyAlignment="1" applyProtection="1">
      <alignment horizontal="center" vertical="center"/>
      <protection locked="0"/>
    </xf>
    <xf numFmtId="3" fontId="33" fillId="43" borderId="1" xfId="0" applyNumberFormat="1" applyFont="1" applyFill="1" applyBorder="1" applyAlignment="1" applyProtection="1">
      <alignment horizontal="center" vertical="center"/>
      <protection locked="0"/>
    </xf>
    <xf numFmtId="3" fontId="35" fillId="42" borderId="1" xfId="0" applyNumberFormat="1" applyFont="1" applyFill="1" applyBorder="1" applyAlignment="1" applyProtection="1">
      <alignment horizontal="center" vertical="center"/>
      <protection locked="0"/>
    </xf>
    <xf numFmtId="3" fontId="12" fillId="0" borderId="0" xfId="0" applyNumberFormat="1" applyFont="1" applyAlignment="1">
      <alignment vertical="center"/>
    </xf>
    <xf numFmtId="3" fontId="35" fillId="48" borderId="1" xfId="0" applyNumberFormat="1" applyFont="1" applyFill="1" applyBorder="1" applyAlignment="1" applyProtection="1">
      <alignment horizontal="center" vertical="center"/>
      <protection locked="0"/>
    </xf>
    <xf numFmtId="3" fontId="33" fillId="41" borderId="1" xfId="0" applyNumberFormat="1" applyFont="1" applyFill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3" fontId="13" fillId="40" borderId="1" xfId="0" applyNumberFormat="1" applyFont="1" applyFill="1" applyBorder="1" applyAlignment="1">
      <alignment horizontal="center" vertical="center"/>
    </xf>
    <xf numFmtId="3" fontId="33" fillId="39" borderId="1" xfId="0" applyNumberFormat="1" applyFont="1" applyFill="1" applyBorder="1" applyAlignment="1" applyProtection="1">
      <alignment horizontal="center" vertical="center"/>
      <protection locked="0"/>
    </xf>
    <xf numFmtId="3" fontId="31" fillId="38" borderId="1" xfId="0" applyNumberFormat="1" applyFont="1" applyFill="1" applyBorder="1" applyAlignment="1" applyProtection="1">
      <alignment horizontal="center" vertical="center"/>
      <protection locked="0"/>
    </xf>
    <xf numFmtId="3" fontId="31" fillId="38" borderId="1" xfId="0" applyNumberFormat="1" applyFont="1" applyFill="1" applyBorder="1" applyAlignment="1">
      <alignment horizontal="center" vertical="center"/>
    </xf>
    <xf numFmtId="3" fontId="33" fillId="41" borderId="1" xfId="0" applyNumberFormat="1" applyFont="1" applyFill="1" applyBorder="1" applyAlignment="1" applyProtection="1">
      <alignment horizontal="center" vertical="center"/>
      <protection locked="0"/>
    </xf>
    <xf numFmtId="3" fontId="31" fillId="37" borderId="1" xfId="0" applyNumberFormat="1" applyFont="1" applyFill="1" applyBorder="1" applyAlignment="1">
      <alignment horizontal="center" vertical="center"/>
    </xf>
    <xf numFmtId="3" fontId="31" fillId="0" borderId="0" xfId="0" applyNumberFormat="1" applyFont="1" applyAlignment="1" applyProtection="1">
      <alignment horizontal="center" vertical="center"/>
      <protection locked="0"/>
    </xf>
    <xf numFmtId="0" fontId="38" fillId="44" borderId="1" xfId="0" applyFont="1" applyFill="1" applyBorder="1" applyAlignment="1" applyProtection="1">
      <alignment vertical="center" wrapText="1"/>
      <protection locked="0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vertical="center"/>
    </xf>
    <xf numFmtId="0" fontId="7" fillId="47" borderId="1" xfId="0" applyFont="1" applyFill="1" applyBorder="1" applyAlignment="1">
      <alignment horizontal="center" vertical="center" wrapText="1"/>
    </xf>
    <xf numFmtId="0" fontId="7" fillId="47" borderId="1" xfId="0" applyFont="1" applyFill="1" applyBorder="1" applyAlignment="1">
      <alignment vertical="center"/>
    </xf>
    <xf numFmtId="1" fontId="7" fillId="47" borderId="1" xfId="0" applyNumberFormat="1" applyFont="1" applyFill="1" applyBorder="1" applyAlignment="1">
      <alignment horizontal="center" vertical="center"/>
    </xf>
    <xf numFmtId="0" fontId="7" fillId="47" borderId="1" xfId="0" applyFont="1" applyFill="1" applyBorder="1" applyAlignment="1">
      <alignment horizontal="center" vertical="center"/>
    </xf>
    <xf numFmtId="3" fontId="7" fillId="47" borderId="1" xfId="0" applyNumberFormat="1" applyFont="1" applyFill="1" applyBorder="1" applyAlignment="1">
      <alignment horizontal="center" vertical="center"/>
    </xf>
    <xf numFmtId="164" fontId="7" fillId="47" borderId="1" xfId="0" applyNumberFormat="1" applyFont="1" applyFill="1" applyBorder="1" applyAlignment="1">
      <alignment vertical="center"/>
    </xf>
    <xf numFmtId="165" fontId="7" fillId="0" borderId="1" xfId="3" applyNumberFormat="1" applyFont="1" applyBorder="1" applyAlignment="1" applyProtection="1">
      <alignment horizontal="center"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164" fontId="7" fillId="39" borderId="1" xfId="0" applyNumberFormat="1" applyFont="1" applyFill="1" applyBorder="1" applyAlignment="1" applyProtection="1">
      <alignment vertical="center"/>
      <protection locked="0"/>
    </xf>
    <xf numFmtId="3" fontId="5" fillId="2" borderId="4" xfId="0" applyNumberFormat="1" applyFont="1" applyFill="1" applyBorder="1" applyAlignment="1" applyProtection="1">
      <alignment vertical="center" wrapText="1"/>
      <protection locked="0"/>
    </xf>
    <xf numFmtId="0" fontId="5" fillId="2" borderId="4" xfId="0" applyFont="1" applyFill="1" applyBorder="1" applyAlignment="1" applyProtection="1">
      <alignment vertical="center" wrapText="1"/>
      <protection locked="0"/>
    </xf>
    <xf numFmtId="44" fontId="4" fillId="46" borderId="1" xfId="0" applyNumberFormat="1" applyFont="1" applyFill="1" applyBorder="1" applyAlignment="1" applyProtection="1">
      <alignment horizontal="center" vertical="center" wrapText="1"/>
      <protection locked="0"/>
    </xf>
    <xf numFmtId="44" fontId="1" fillId="46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5" fillId="2" borderId="3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vertical="center"/>
      <protection locked="0"/>
    </xf>
    <xf numFmtId="1" fontId="7" fillId="0" borderId="1" xfId="0" applyNumberFormat="1" applyFont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  <xf numFmtId="0" fontId="5" fillId="2" borderId="3" xfId="0" applyFont="1" applyFill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3" fillId="4" borderId="1" xfId="0" applyFont="1" applyFill="1" applyBorder="1" applyAlignment="1" applyProtection="1">
      <alignment vertical="center"/>
      <protection locked="0"/>
    </xf>
    <xf numFmtId="0" fontId="13" fillId="3" borderId="1" xfId="0" applyFont="1" applyFill="1" applyBorder="1" applyAlignment="1" applyProtection="1">
      <alignment horizontal="right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vertical="center"/>
      <protection locked="0"/>
    </xf>
    <xf numFmtId="164" fontId="14" fillId="3" borderId="1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40" fillId="0" borderId="1" xfId="0" applyFont="1" applyBorder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1" fontId="40" fillId="0" borderId="0" xfId="0" applyNumberFormat="1" applyFont="1" applyAlignment="1" applyProtection="1">
      <alignment horizontal="center" vertical="center"/>
      <protection locked="0"/>
    </xf>
    <xf numFmtId="3" fontId="40" fillId="0" borderId="0" xfId="0" applyNumberFormat="1" applyFont="1" applyAlignment="1" applyProtection="1">
      <alignment horizontal="center" vertical="center"/>
      <protection locked="0"/>
    </xf>
    <xf numFmtId="3" fontId="35" fillId="43" borderId="1" xfId="0" applyNumberFormat="1" applyFont="1" applyFill="1" applyBorder="1" applyAlignment="1" applyProtection="1">
      <alignment horizontal="center" vertical="center"/>
      <protection locked="0"/>
    </xf>
    <xf numFmtId="3" fontId="35" fillId="50" borderId="1" xfId="0" applyNumberFormat="1" applyFont="1" applyFill="1" applyBorder="1" applyAlignment="1">
      <alignment horizontal="center" vertical="center"/>
    </xf>
    <xf numFmtId="0" fontId="14" fillId="51" borderId="1" xfId="0" applyFont="1" applyFill="1" applyBorder="1" applyAlignment="1">
      <alignment vertical="center" wrapText="1"/>
    </xf>
    <xf numFmtId="0" fontId="14" fillId="51" borderId="1" xfId="0" applyFont="1" applyFill="1" applyBorder="1" applyAlignment="1">
      <alignment horizontal="center" vertical="center" wrapText="1"/>
    </xf>
    <xf numFmtId="164" fontId="13" fillId="49" borderId="1" xfId="0" applyNumberFormat="1" applyFont="1" applyFill="1" applyBorder="1" applyAlignment="1">
      <alignment vertical="center"/>
    </xf>
    <xf numFmtId="164" fontId="14" fillId="49" borderId="1" xfId="0" applyNumberFormat="1" applyFont="1" applyFill="1" applyBorder="1" applyAlignment="1">
      <alignment vertical="center"/>
    </xf>
    <xf numFmtId="3" fontId="13" fillId="40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20" xfId="0" applyFont="1" applyBorder="1" applyAlignment="1" applyProtection="1">
      <alignment horizontal="center" vertical="center"/>
      <protection locked="0"/>
    </xf>
    <xf numFmtId="0" fontId="31" fillId="0" borderId="19" xfId="0" applyFont="1" applyBorder="1" applyAlignment="1" applyProtection="1">
      <alignment horizontal="center" vertical="center"/>
      <protection locked="0"/>
    </xf>
    <xf numFmtId="3" fontId="31" fillId="0" borderId="21" xfId="0" applyNumberFormat="1" applyFont="1" applyBorder="1" applyAlignment="1" applyProtection="1">
      <alignment horizontal="center" vertical="center"/>
      <protection locked="0"/>
    </xf>
    <xf numFmtId="3" fontId="0" fillId="0" borderId="21" xfId="0" applyNumberFormat="1" applyBorder="1" applyAlignment="1">
      <alignment vertical="center"/>
    </xf>
    <xf numFmtId="3" fontId="0" fillId="0" borderId="19" xfId="0" applyNumberFormat="1" applyBorder="1" applyAlignment="1">
      <alignment horizontal="center" vertical="center"/>
    </xf>
    <xf numFmtId="1" fontId="40" fillId="0" borderId="1" xfId="0" applyNumberFormat="1" applyFont="1" applyBorder="1" applyAlignment="1" applyProtection="1">
      <alignment horizontal="center" vertical="center"/>
      <protection locked="0"/>
    </xf>
    <xf numFmtId="0" fontId="31" fillId="0" borderId="22" xfId="0" applyFont="1" applyBorder="1" applyAlignment="1" applyProtection="1">
      <alignment horizontal="center" vertical="center" wrapText="1"/>
      <protection locked="0"/>
    </xf>
    <xf numFmtId="1" fontId="31" fillId="0" borderId="23" xfId="0" applyNumberFormat="1" applyFont="1" applyBorder="1" applyAlignment="1" applyProtection="1">
      <alignment horizontal="center" vertical="center" wrapText="1"/>
      <protection locked="0"/>
    </xf>
    <xf numFmtId="0" fontId="31" fillId="0" borderId="23" xfId="0" applyFont="1" applyBorder="1" applyAlignment="1" applyProtection="1">
      <alignment horizontal="center" vertical="center" wrapText="1"/>
      <protection locked="0"/>
    </xf>
    <xf numFmtId="3" fontId="31" fillId="0" borderId="24" xfId="0" applyNumberFormat="1" applyFont="1" applyBorder="1" applyAlignment="1" applyProtection="1">
      <alignment horizontal="center" vertical="center" wrapText="1"/>
      <protection locked="0"/>
    </xf>
    <xf numFmtId="1" fontId="40" fillId="0" borderId="15" xfId="0" applyNumberFormat="1" applyFont="1" applyBorder="1" applyAlignment="1" applyProtection="1">
      <alignment horizontal="center" vertical="center"/>
      <protection locked="0"/>
    </xf>
    <xf numFmtId="0" fontId="40" fillId="0" borderId="15" xfId="0" applyFont="1" applyBorder="1" applyAlignment="1" applyProtection="1">
      <alignment horizontal="center" vertical="center"/>
      <protection locked="0"/>
    </xf>
    <xf numFmtId="3" fontId="40" fillId="0" borderId="16" xfId="0" applyNumberFormat="1" applyFont="1" applyBorder="1" applyAlignment="1" applyProtection="1">
      <alignment horizontal="center" vertical="center"/>
      <protection locked="0"/>
    </xf>
    <xf numFmtId="3" fontId="40" fillId="0" borderId="18" xfId="0" applyNumberFormat="1" applyFont="1" applyBorder="1" applyAlignment="1" applyProtection="1">
      <alignment horizontal="center" vertical="center"/>
      <protection locked="0"/>
    </xf>
    <xf numFmtId="1" fontId="31" fillId="0" borderId="19" xfId="0" applyNumberFormat="1" applyFont="1" applyBorder="1" applyAlignment="1" applyProtection="1">
      <alignment horizontal="center" vertical="center"/>
      <protection locked="0"/>
    </xf>
    <xf numFmtId="0" fontId="40" fillId="0" borderId="19" xfId="0" applyFont="1" applyBorder="1" applyAlignment="1" applyProtection="1">
      <alignment horizontal="center" vertical="center"/>
      <protection locked="0"/>
    </xf>
    <xf numFmtId="1" fontId="40" fillId="0" borderId="1" xfId="0" applyNumberFormat="1" applyFont="1" applyBorder="1" applyAlignment="1">
      <alignment horizontal="center" vertical="center"/>
    </xf>
    <xf numFmtId="1" fontId="40" fillId="0" borderId="28" xfId="0" applyNumberFormat="1" applyFont="1" applyBorder="1" applyAlignment="1" applyProtection="1">
      <alignment horizontal="center" vertical="center"/>
      <protection locked="0"/>
    </xf>
    <xf numFmtId="0" fontId="40" fillId="0" borderId="28" xfId="0" applyFont="1" applyBorder="1" applyAlignment="1" applyProtection="1">
      <alignment horizontal="center" vertical="center"/>
      <protection locked="0"/>
    </xf>
    <xf numFmtId="3" fontId="40" fillId="0" borderId="29" xfId="0" applyNumberFormat="1" applyFont="1" applyBorder="1" applyAlignment="1" applyProtection="1">
      <alignment horizontal="center" vertical="center"/>
      <protection locked="0"/>
    </xf>
    <xf numFmtId="1" fontId="0" fillId="0" borderId="14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3" fontId="0" fillId="0" borderId="16" xfId="0" applyNumberFormat="1" applyBorder="1" applyAlignment="1">
      <alignment vertical="center"/>
    </xf>
    <xf numFmtId="1" fontId="0" fillId="0" borderId="17" xfId="0" applyNumberFormat="1" applyBorder="1" applyAlignment="1">
      <alignment horizontal="center" vertical="center"/>
    </xf>
    <xf numFmtId="3" fontId="0" fillId="0" borderId="18" xfId="0" applyNumberFormat="1" applyBorder="1" applyAlignment="1">
      <alignment vertical="center"/>
    </xf>
    <xf numFmtId="1" fontId="40" fillId="0" borderId="17" xfId="0" applyNumberFormat="1" applyFont="1" applyBorder="1" applyAlignment="1">
      <alignment horizontal="center" vertical="center"/>
    </xf>
    <xf numFmtId="3" fontId="40" fillId="0" borderId="18" xfId="0" applyNumberFormat="1" applyFont="1" applyBorder="1" applyAlignment="1">
      <alignment vertical="center"/>
    </xf>
    <xf numFmtId="1" fontId="40" fillId="0" borderId="27" xfId="0" applyNumberFormat="1" applyFont="1" applyBorder="1" applyAlignment="1">
      <alignment horizontal="center" vertical="center"/>
    </xf>
    <xf numFmtId="1" fontId="40" fillId="0" borderId="28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3" fontId="0" fillId="0" borderId="29" xfId="0" applyNumberFormat="1" applyBorder="1" applyAlignment="1">
      <alignment vertical="center"/>
    </xf>
    <xf numFmtId="1" fontId="40" fillId="0" borderId="15" xfId="0" applyNumberFormat="1" applyFon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40" fillId="0" borderId="31" xfId="0" applyFont="1" applyBorder="1" applyAlignment="1" applyProtection="1">
      <alignment horizontal="center" vertical="center"/>
      <protection locked="0"/>
    </xf>
    <xf numFmtId="0" fontId="40" fillId="0" borderId="32" xfId="0" applyFont="1" applyBorder="1" applyAlignment="1" applyProtection="1">
      <alignment horizontal="center" vertical="center"/>
      <protection locked="0"/>
    </xf>
    <xf numFmtId="1" fontId="40" fillId="0" borderId="17" xfId="0" applyNumberFormat="1" applyFont="1" applyBorder="1" applyAlignment="1" applyProtection="1">
      <alignment horizontal="center" vertical="center"/>
      <protection locked="0"/>
    </xf>
    <xf numFmtId="16" fontId="40" fillId="0" borderId="17" xfId="0" quotePrefix="1" applyNumberFormat="1" applyFont="1" applyBorder="1" applyAlignment="1" applyProtection="1">
      <alignment horizontal="center" vertical="center"/>
      <protection locked="0"/>
    </xf>
    <xf numFmtId="16" fontId="40" fillId="0" borderId="27" xfId="0" quotePrefix="1" applyNumberFormat="1" applyFont="1" applyBorder="1" applyAlignment="1" applyProtection="1">
      <alignment horizontal="center" vertical="center"/>
      <protection locked="0"/>
    </xf>
    <xf numFmtId="16" fontId="40" fillId="0" borderId="14" xfId="0" quotePrefix="1" applyNumberFormat="1" applyFont="1" applyBorder="1" applyAlignment="1" applyProtection="1">
      <alignment horizontal="center" vertical="center"/>
      <protection locked="0"/>
    </xf>
    <xf numFmtId="1" fontId="40" fillId="0" borderId="30" xfId="0" applyNumberFormat="1" applyFont="1" applyBorder="1" applyAlignment="1">
      <alignment horizontal="center" vertical="center"/>
    </xf>
    <xf numFmtId="0" fontId="40" fillId="0" borderId="33" xfId="0" applyFont="1" applyBorder="1" applyAlignment="1" applyProtection="1">
      <alignment horizontal="center" vertical="center"/>
      <protection locked="0"/>
    </xf>
    <xf numFmtId="0" fontId="40" fillId="0" borderId="34" xfId="0" applyFont="1" applyBorder="1" applyAlignment="1" applyProtection="1">
      <alignment horizontal="center" vertical="center"/>
      <protection locked="0"/>
    </xf>
    <xf numFmtId="0" fontId="40" fillId="0" borderId="35" xfId="0" applyFont="1" applyBorder="1" applyAlignment="1" applyProtection="1">
      <alignment horizontal="center" vertical="center"/>
      <protection locked="0"/>
    </xf>
    <xf numFmtId="16" fontId="40" fillId="0" borderId="25" xfId="0" quotePrefix="1" applyNumberFormat="1" applyFont="1" applyBorder="1" applyAlignment="1" applyProtection="1">
      <alignment horizontal="center" vertical="center"/>
      <protection locked="0"/>
    </xf>
    <xf numFmtId="1" fontId="40" fillId="0" borderId="27" xfId="0" applyNumberFormat="1" applyFont="1" applyBorder="1" applyAlignment="1" applyProtection="1">
      <alignment horizontal="center" vertical="center"/>
      <protection locked="0"/>
    </xf>
    <xf numFmtId="0" fontId="13" fillId="4" borderId="22" xfId="0" applyFont="1" applyFill="1" applyBorder="1" applyAlignment="1">
      <alignment horizontal="center" vertical="center" wrapText="1"/>
    </xf>
    <xf numFmtId="0" fontId="13" fillId="4" borderId="23" xfId="0" applyFont="1" applyFill="1" applyBorder="1" applyAlignment="1">
      <alignment horizontal="center" vertical="center" wrapText="1"/>
    </xf>
    <xf numFmtId="3" fontId="13" fillId="4" borderId="23" xfId="0" applyNumberFormat="1" applyFont="1" applyFill="1" applyBorder="1" applyAlignment="1">
      <alignment horizontal="center" vertical="center" wrapText="1"/>
    </xf>
    <xf numFmtId="3" fontId="13" fillId="4" borderId="24" xfId="0" applyNumberFormat="1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 indent="1"/>
    </xf>
    <xf numFmtId="0" fontId="1" fillId="0" borderId="4" xfId="0" applyFont="1" applyBorder="1" applyAlignment="1">
      <alignment horizontal="left" vertical="center" wrapText="1" indent="1"/>
    </xf>
    <xf numFmtId="0" fontId="1" fillId="0" borderId="2" xfId="0" applyFont="1" applyBorder="1" applyAlignment="1">
      <alignment horizontal="left" vertical="center" wrapText="1" indent="1"/>
    </xf>
    <xf numFmtId="0" fontId="0" fillId="0" borderId="20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13" fillId="4" borderId="36" xfId="0" applyFont="1" applyFill="1" applyBorder="1" applyAlignment="1" applyProtection="1">
      <alignment vertical="center"/>
      <protection locked="0"/>
    </xf>
  </cellXfs>
  <cellStyles count="50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 2" xfId="48" xr:uid="{A02CBA5F-99A0-490A-B81D-0F85434B0F8A}"/>
    <cellStyle name="Explanatory Text" xfId="20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 2" xfId="49" xr:uid="{3FDEA291-EA73-421A-A1F7-DFFE10042ABB}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1" xr:uid="{00000000-0005-0000-0000-000025000000}"/>
    <cellStyle name="Normal 2 15" xfId="2" xr:uid="{00000000-0005-0000-0000-000026000000}"/>
    <cellStyle name="Normal 2 15 2" xfId="47" xr:uid="{76AFF4E2-AA6F-4106-9082-10C30F1273A4}"/>
    <cellStyle name="Normal 3" xfId="46" xr:uid="{71A5B036-4AD7-4F64-9C96-586E0866D7BD}"/>
    <cellStyle name="Note" xfId="19" builtinId="10" customBuiltin="1"/>
    <cellStyle name="Output" xfId="14" builtinId="21" customBuiltin="1"/>
    <cellStyle name="Percent" xfId="3" builtinId="5"/>
    <cellStyle name="Title" xfId="5" builtinId="15" customBuiltin="1"/>
    <cellStyle name="Total" xfId="21" builtinId="25" customBuiltin="1"/>
    <cellStyle name="VerdiUnitNetPrice" xfId="4" xr:uid="{00000000-0005-0000-0000-00002C000000}"/>
    <cellStyle name="Warning Text" xfId="18" builtinId="11" customBuiltin="1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font>
        <b/>
        <sz val="12"/>
      </font>
      <fill>
        <patternFill patternType="solid">
          <fgColor indexed="64"/>
          <bgColor theme="4" tint="0.79998168889431442"/>
        </patternFill>
      </fill>
      <alignment vertical="center" readingOrder="0"/>
    </dxf>
    <dxf>
      <numFmt numFmtId="164" formatCode="&quot;$&quot;#,##0.00"/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ont>
        <b/>
      </font>
      <fill>
        <patternFill patternType="solid">
          <fgColor indexed="64"/>
          <bgColor theme="0" tint="-0.14999847407452621"/>
        </patternFill>
      </fill>
      <alignment horizontal="right"/>
    </dxf>
    <dxf>
      <protection locked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137583</xdr:colOff>
      <xdr:row>1</xdr:row>
      <xdr:rowOff>232835</xdr:rowOff>
    </xdr:from>
    <xdr:to>
      <xdr:col>5</xdr:col>
      <xdr:colOff>698499</xdr:colOff>
      <xdr:row>2</xdr:row>
      <xdr:rowOff>275168</xdr:rowOff>
    </xdr:to>
    <xdr:sp macro="[0]!Refresh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AFCB046-F5ED-4A14-8EE7-9A5FA1EBFBDA}"/>
            </a:ext>
          </a:extLst>
        </xdr:cNvPr>
        <xdr:cNvSpPr/>
      </xdr:nvSpPr>
      <xdr:spPr>
        <a:xfrm>
          <a:off x="4275666" y="1502835"/>
          <a:ext cx="1407583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bg1"/>
              </a:solidFill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xcel Services" refreshedDate="45096.429904861114" createdVersion="6" refreshedVersion="8" recordCount="86" xr:uid="{00000000-000A-0000-FFFF-FFFF05000000}">
  <cacheSource type="worksheet">
    <worksheetSource ref="B1:I87" sheet="Material and Labor"/>
  </cacheSource>
  <cacheFields count="8">
    <cacheField name="Product Number" numFmtId="0">
      <sharedItems containsBlank="1" containsMixedTypes="1" containsNumber="1" containsInteger="1" minValue="0" maxValue="0"/>
    </cacheField>
    <cacheField name="Product Description" numFmtId="0">
      <sharedItems containsBlank="1" containsMixedTypes="1" containsNumber="1" containsInteger="1" minValue="0" maxValue="0"/>
    </cacheField>
    <cacheField name="Pack" numFmtId="0">
      <sharedItems containsBlank="1" containsMixedTypes="1" containsNumber="1" containsInteger="1" minValue="0" maxValue="250"/>
    </cacheField>
    <cacheField name="Unit" numFmtId="0">
      <sharedItems containsBlank="1" containsMixedTypes="1" containsNumber="1" containsInteger="1" minValue="0" maxValue="0"/>
    </cacheField>
    <cacheField name="Qty" numFmtId="0">
      <sharedItems containsString="0" containsBlank="1" containsNumber="1" containsInteger="1" minValue="0" maxValue="0"/>
    </cacheField>
    <cacheField name="Unit Price" numFmtId="0">
      <sharedItems containsString="0" containsBlank="1" containsNumber="1" minValue="0" maxValue="1785"/>
    </cacheField>
    <cacheField name="Extended Price" numFmtId="0">
      <sharedItems containsString="0" containsBlank="1" containsNumber="1" containsInteger="1" minValue="0" maxValue="0"/>
    </cacheField>
    <cacheField name="Category" numFmtId="0">
      <sharedItems containsBlank="1" containsMixedTypes="1" containsNumber="1" minValue="0" maxValue="698290.29938478197" count="44">
        <s v="Material"/>
        <m/>
        <s v="Installation"/>
        <n v="0"/>
        <n v="102219.86573025724" u="1"/>
        <n v="230448.01454228821" u="1"/>
        <n v="22417.142307488" u="1"/>
        <n v="95018.420189603843" u="1"/>
        <n v="698290.29938478197" u="1"/>
        <n v="50863.145616965281" u="1"/>
        <n v="27500.217308536587" u="1"/>
        <n v="202945.71915250632" u="1"/>
        <n v="286534.05502284551" u="1"/>
        <n v="379623.63271811529" u="1"/>
        <n v="30433.424973008128" u="1"/>
        <n v="101360.83311081286" u="1"/>
        <n v="363489.210718252" u="1"/>
        <n v="278036.36199418706" u="1"/>
        <n v="49729.605046252589" u="1"/>
        <n v="47840.569922530667" u="1"/>
        <n v="25022.54" u="1"/>
        <n v="308139.60822802654" u="1"/>
        <n v="226.53" u="1"/>
        <n v="363536.14405158529" u="1"/>
        <n v="25190.856666666663" u="1"/>
        <n v="202282.6946560074" u="1"/>
        <n v="234131.13344472722" u="1"/>
        <n v="51177.659741194555" u="1"/>
        <n v="76544.990627639607" u="1"/>
        <n v="127581.91195546424" u="1"/>
        <n v="10695.779525176" u="1"/>
        <n v="33558.000313391058" u="1"/>
        <n v="66055.632718115347" u="1"/>
        <n v="47910.181377610759" u="1"/>
        <n v="363059.91071825201" u="1"/>
        <n v="130326.36781692092" u="1"/>
        <n v="202137.71802917813" u="1"/>
        <n v="185906.43998674158" u="1"/>
        <n v="201588.14744416831" u="1"/>
        <n v="31873.934024512193" u="1"/>
        <n v="48137.364392366857" u="1"/>
        <n v="403752.34438192897" u="1"/>
        <n v="66161.503538343357" u="1"/>
        <n v="101747.8035383433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n v="0"/>
    <n v="0"/>
    <n v="0"/>
    <n v="0"/>
    <n v="0"/>
    <n v="0"/>
    <n v="0"/>
    <x v="0"/>
  </r>
  <r>
    <s v="NCD507500"/>
    <s v="FDH 48 for pedestal use"/>
    <n v="1"/>
    <s v="pcs"/>
    <n v="0"/>
    <n v="625"/>
    <n v="0"/>
    <x v="0"/>
  </r>
  <r>
    <s v="HSXA136107/2"/>
    <s v="Mounting bracket kit for NCD507"/>
    <n v="1"/>
    <s v="pcs"/>
    <n v="0"/>
    <n v="150"/>
    <n v="0"/>
    <x v="0"/>
  </r>
  <r>
    <s v="3/NBD116200/1"/>
    <s v="FDH 96 for pedestal use"/>
    <n v="1"/>
    <s v="pcs"/>
    <n v="0"/>
    <n v="825"/>
    <n v="0"/>
    <x v="0"/>
  </r>
  <r>
    <s v="HSXA136107/3"/>
    <s v="Mounting Bracket kit for 3/NBD116200/1 "/>
    <n v="1"/>
    <s v="pcs"/>
    <n v="0"/>
    <n v="175"/>
    <n v="0"/>
    <x v="0"/>
  </r>
  <r>
    <s v="HSXA136107/1"/>
    <s v="12&quot; Pedestal in ground expanded"/>
    <n v="1"/>
    <s v="pcs"/>
    <n v="0"/>
    <n v="245"/>
    <n v="0"/>
    <x v="0"/>
  </r>
  <r>
    <s v="HSXA136107/4"/>
    <s v="Stake mounting assembly 42&quot;"/>
    <n v="1"/>
    <s v="pcs"/>
    <n v="0"/>
    <n v="19.5"/>
    <n v="0"/>
    <x v="0"/>
  </r>
  <r>
    <s v="HNA00005"/>
    <s v="FDH 96 cabinet with backboard and adapters"/>
    <n v="1"/>
    <s v="pcs"/>
    <n v="0"/>
    <n v="1785"/>
    <n v="0"/>
    <x v="0"/>
  </r>
  <r>
    <s v="2/NBD116200/1"/>
    <s v="FDH Street  Cabinet, BASIC EMPTY / 288 FDH"/>
    <n v="1"/>
    <s v="pcs"/>
    <n v="0"/>
    <n v="1500"/>
    <n v="0"/>
    <x v="0"/>
  </r>
  <r>
    <s v="NBL9012001/1"/>
    <s v="FIBER ADAPTER TRAY ( EMPTY)             "/>
    <n v="1"/>
    <s v="pcs"/>
    <n v="0"/>
    <n v="15"/>
    <n v="0"/>
    <x v="0"/>
  </r>
  <r>
    <s v="RNT99210/24"/>
    <s v="Adapter SC/APC with shutter, no flange"/>
    <n v="1"/>
    <s v="pcs"/>
    <n v="0"/>
    <n v="1.59"/>
    <n v="0"/>
    <x v="0"/>
  </r>
  <r>
    <s v="RDJ901200/29"/>
    <s v="1:32 splitter, SC/APC, 180/730mm"/>
    <n v="1"/>
    <s v="pcs"/>
    <n v="0"/>
    <n v="405"/>
    <n v="0"/>
    <x v="0"/>
  </r>
  <r>
    <s v="RDJ901200/33"/>
    <s v="1:32 splitter, SC/APC, 900/1500mm"/>
    <n v="1"/>
    <s v="pcs"/>
    <n v="0"/>
    <n v="402.17"/>
    <n v="0"/>
    <x v="0"/>
  </r>
  <r>
    <n v="0"/>
    <n v="0"/>
    <n v="0"/>
    <n v="0"/>
    <n v="0"/>
    <n v="0"/>
    <n v="0"/>
    <x v="0"/>
  </r>
  <r>
    <s v="MPB302441UV"/>
    <s v="Microduct, 5/3,5mm 1-way, direct buried, TW"/>
    <s v="1640 ft to 6560 ft"/>
    <s v="ft"/>
    <n v="0"/>
    <n v="0.23039939024390246"/>
    <n v="0"/>
    <x v="0"/>
  </r>
  <r>
    <s v="MPB302444UV"/>
    <s v="Microduct, 5/3,5mm 4-way, direct buried, TW"/>
    <s v="1640 ft to 6560 ft"/>
    <s v="ft"/>
    <n v="0"/>
    <n v="0.61737804878048785"/>
    <n v="0"/>
    <x v="0"/>
  </r>
  <r>
    <s v="MPB302447UV"/>
    <s v="Microduct, 5/3,5mm 7-way, direct buried, TW"/>
    <s v="1640 ft to 6560 ft"/>
    <s v="ft"/>
    <n v="0"/>
    <n v="0.77743902439024393"/>
    <n v="0"/>
    <x v="0"/>
  </r>
  <r>
    <s v="MPB3024412UV"/>
    <s v="Microduct, 5/3,5mm 12-way, direct buried, TW"/>
    <s v="1640 ft to 6560 ft"/>
    <s v="ft"/>
    <n v="0"/>
    <n v="1.0213414634146341"/>
    <n v="0"/>
    <x v="0"/>
  </r>
  <r>
    <s v="MPB3024419UV"/>
    <s v="Microduct, 5/3,5mm 19-way, direct buried, TW"/>
    <s v="1640 ft to 6560 ft"/>
    <s v="ft"/>
    <n v="0"/>
    <n v="1.1495640243902439"/>
    <n v="0"/>
    <x v="0"/>
  </r>
  <r>
    <s v="MPB3024424UV"/>
    <s v="Microduct, 5/3,5mm 24-way, direct buried, TW"/>
    <s v="1640 ft to 3280 ft"/>
    <s v="ft"/>
    <n v="0"/>
    <n v="1.9207317073170731"/>
    <n v="0"/>
    <x v="0"/>
  </r>
  <r>
    <n v="0"/>
    <n v="0"/>
    <n v="0"/>
    <n v="0"/>
    <n v="0"/>
    <n v="0"/>
    <n v="0"/>
    <x v="0"/>
  </r>
  <r>
    <s v="3/NDE451200"/>
    <s v="Duct branch off closure, small - 4 port"/>
    <n v="1"/>
    <s v="pcs"/>
    <n v="0"/>
    <n v="81.400000000000006"/>
    <n v="0"/>
    <x v="0"/>
  </r>
  <r>
    <s v="3/NDE451200/1"/>
    <s v="Duct branch off closure, small - 8 port"/>
    <n v="1"/>
    <s v="pcs"/>
    <n v="0"/>
    <n v="115"/>
    <n v="0"/>
    <x v="0"/>
  </r>
  <r>
    <s v="NDE45125/171"/>
    <s v="Straight Joint 367-40mm (24 - 19 way) Black end caps"/>
    <n v="10"/>
    <s v="pcs"/>
    <n v="0"/>
    <n v="29.9"/>
    <n v="0"/>
    <x v="0"/>
  </r>
  <r>
    <s v="MPB32000/2"/>
    <s v="Hexatronic marker pegs"/>
    <n v="1"/>
    <s v="pcs"/>
    <n v="0"/>
    <n v="8"/>
    <n v="0"/>
    <x v="0"/>
  </r>
  <r>
    <s v="TBD"/>
    <s v="Toby Box (flower pot) at property line"/>
    <n v="1"/>
    <s v="pcs"/>
    <n v="0"/>
    <n v="9.9499999999999993"/>
    <n v="0"/>
    <x v="0"/>
  </r>
  <r>
    <n v="0"/>
    <n v="0"/>
    <n v="0"/>
    <n v="0"/>
    <n v="0"/>
    <n v="0"/>
    <n v="0"/>
    <x v="0"/>
  </r>
  <r>
    <s v="KRPM258019/xxxxM"/>
    <s v="ABF STINGRAY 2 FIBER G657 BOX"/>
    <s v="1000M to 6000M"/>
    <s v="ft"/>
    <n v="0"/>
    <n v="5.9602115999999997E-2"/>
    <n v="0"/>
    <x v="0"/>
  </r>
  <r>
    <s v="KRPM258022/xxxxM"/>
    <s v="ABF Stingray 4xG657A2 TIA598 PAN"/>
    <s v="2000M to 6000M"/>
    <s v="ft"/>
    <n v="0"/>
    <n v="8.0816195999999993E-2"/>
    <n v="0"/>
    <x v="0"/>
  </r>
  <r>
    <s v="KRPM258034/xxxxM"/>
    <s v="ABF Stingray 8xG657A2 TIA598 PAN"/>
    <s v="1000M to 4000M"/>
    <s v="ft"/>
    <n v="0"/>
    <n v="0.151638"/>
    <n v="0"/>
    <x v="0"/>
  </r>
  <r>
    <s v="KRPM258044/xxxxM"/>
    <s v="ABF Stingray 12xG657A2 TIA598 PAN"/>
    <s v="1000M to 4000M"/>
    <s v="ft"/>
    <n v="0"/>
    <n v="0.14238732000000001"/>
    <n v="0"/>
    <x v="0"/>
  </r>
  <r>
    <s v="TSR3950426/2000"/>
    <s v="Pigtail SM (0.9 mm), SC/APC - open end, G657A2, 2 m, Yellow"/>
    <n v="10"/>
    <s v="pcs"/>
    <n v="0"/>
    <n v="3.05"/>
    <n v="0"/>
    <x v="0"/>
  </r>
  <r>
    <n v="0"/>
    <n v="0"/>
    <n v="0"/>
    <n v="0"/>
    <n v="0"/>
    <n v="0"/>
    <n v="0"/>
    <x v="0"/>
  </r>
  <r>
    <s v="5/NEG203200"/>
    <s v="Fiber Termination Box, Indoor/Outdoor for up to 2xSC Duplex cut-out"/>
    <n v="1"/>
    <s v="pcs"/>
    <n v="0"/>
    <n v="13.92"/>
    <n v="0"/>
    <x v="0"/>
  </r>
  <r>
    <s v="RNT99211/22"/>
    <s v="Adapter SC/APC duplex, ceramic, snap-in and flange mount, Green"/>
    <n v="1"/>
    <s v="pcs"/>
    <n v="0"/>
    <n v="2.17"/>
    <n v="0"/>
    <x v="0"/>
  </r>
  <r>
    <s v="MPB30601/2"/>
    <s v="100xConnector, 5/3.5mm Standard"/>
    <n v="100"/>
    <s v="pack"/>
    <n v="0"/>
    <n v="71.5"/>
    <n v="0"/>
    <x v="0"/>
  </r>
  <r>
    <s v="SXA1139137/132"/>
    <s v="100xMicroduct End Stop, 5mm Easy Connect"/>
    <n v="100"/>
    <s v="pack"/>
    <n v="0"/>
    <n v="85"/>
    <n v="0"/>
    <x v="0"/>
  </r>
  <r>
    <s v="MPB30601/102"/>
    <s v="100xConnector,10/8mm Standard"/>
    <n v="100"/>
    <s v="pack"/>
    <n v="0"/>
    <n v="145"/>
    <n v="0"/>
    <x v="0"/>
  </r>
  <r>
    <s v="SXA1139137/142"/>
    <s v="100xEndstop Connector, 10mm Easy Connect"/>
    <n v="100"/>
    <s v="pack"/>
    <n v="0"/>
    <n v="265"/>
    <n v="0"/>
    <x v="0"/>
  </r>
  <r>
    <s v="MPB30609/10"/>
    <s v="End Cap 10 mm"/>
    <n v="250"/>
    <s v="pack"/>
    <n v="0"/>
    <n v="77.5"/>
    <n v="0"/>
    <x v="0"/>
  </r>
  <r>
    <s v="SRS10617/01"/>
    <s v="100xEnd Sleeve for 10-16 mm"/>
    <n v="100"/>
    <s v="pack"/>
    <n v="0"/>
    <n v="90"/>
    <n v="0"/>
    <x v="0"/>
  </r>
  <r>
    <s v="SRS10617/02"/>
    <s v="100xEnd Sleeve for 15-21 mm"/>
    <n v="100"/>
    <s v="pack"/>
    <n v="0"/>
    <n v="129"/>
    <n v="0"/>
    <x v="0"/>
  </r>
  <r>
    <s v="SRS10617/03"/>
    <s v="50xEnd sleeve for 21-29 mm"/>
    <n v="50"/>
    <s v="pack"/>
    <n v="0"/>
    <n v="89"/>
    <n v="0"/>
    <x v="0"/>
  </r>
  <r>
    <s v="SRS10617/04"/>
    <s v="20xEnd Sleeve for 29-38 mm"/>
    <n v="20"/>
    <s v="pack"/>
    <n v="0"/>
    <n v="39"/>
    <n v="0"/>
    <x v="0"/>
  </r>
  <r>
    <s v="SRS10617/05"/>
    <s v="10xEnd Sleeve for 38-45 mm"/>
    <n v="10"/>
    <s v="pack"/>
    <n v="0"/>
    <n v="23.5"/>
    <n v="0"/>
    <x v="0"/>
  </r>
  <r>
    <s v="NDK12103"/>
    <s v="100xMicroduct End Caps, Strain Relief, 5mm"/>
    <n v="100"/>
    <s v="pack"/>
    <n v="0"/>
    <n v="18.02"/>
    <n v="0"/>
    <x v="0"/>
  </r>
  <r>
    <s v="NTM50207"/>
    <s v="100xCleaning Sponges 3.5mm"/>
    <n v="100"/>
    <s v="pack"/>
    <n v="0"/>
    <n v="28.9"/>
    <n v="0"/>
    <x v="0"/>
  </r>
  <r>
    <s v="NTK102245/1"/>
    <s v="100xBlowing Beads, 1-4f"/>
    <n v="100"/>
    <s v="pcs"/>
    <n v="0"/>
    <n v="15.18"/>
    <n v="0"/>
    <x v="0"/>
  </r>
  <r>
    <s v="NTK102245/2"/>
    <s v="Blowing Bead Ribbonet 8/12 fibers (100 pcs)"/>
    <n v="100"/>
    <s v="pcs"/>
    <n v="0"/>
    <n v="24.03"/>
    <n v="0"/>
    <x v="0"/>
  </r>
  <r>
    <m/>
    <m/>
    <m/>
    <m/>
    <m/>
    <m/>
    <m/>
    <x v="1"/>
  </r>
  <r>
    <n v="0"/>
    <n v="0"/>
    <n v="0"/>
    <n v="0"/>
    <n v="0"/>
    <n v="0"/>
    <n v="0"/>
    <x v="2"/>
  </r>
  <r>
    <s v="FDH Installation"/>
    <s v="FDH pedestal mounted, add adapters and gravel"/>
    <s v="MCA"/>
    <s v="each"/>
    <n v="0"/>
    <n v="200"/>
    <n v="0"/>
    <x v="2"/>
  </r>
  <r>
    <s v="FDH Installation"/>
    <s v="FDH cabinet mounted, add adapters and pour pad"/>
    <s v="MCA"/>
    <s v="each"/>
    <n v="0"/>
    <n v="400"/>
    <n v="0"/>
    <x v="2"/>
  </r>
  <r>
    <s v="FDH Installation"/>
    <s v="Prep microduct and terminate in FDH"/>
    <s v="MCA"/>
    <s v="each"/>
    <n v="0"/>
    <n v="20"/>
    <n v="0"/>
    <x v="2"/>
  </r>
  <r>
    <s v="FDH Installation"/>
    <s v="Install and label 1:32 splitter, SC/APC"/>
    <s v="MCA"/>
    <s v="each"/>
    <n v="0"/>
    <n v="32"/>
    <n v="0"/>
    <x v="2"/>
  </r>
  <r>
    <s v="FDH Installation"/>
    <s v="Install ground rod including material (if required)"/>
    <s v="MCA"/>
    <s v="each"/>
    <n v="0"/>
    <n v="60"/>
    <n v="0"/>
    <x v="2"/>
  </r>
  <r>
    <n v="0"/>
    <n v="0"/>
    <n v="0"/>
    <n v="0"/>
    <n v="0"/>
    <n v="0"/>
    <n v="0"/>
    <x v="2"/>
  </r>
  <r>
    <s v="Multiduct Placement"/>
    <s v="Multiduct placed in trench"/>
    <s v="MCA"/>
    <s v="ft"/>
    <n v="0"/>
    <n v="1"/>
    <n v="0"/>
    <x v="2"/>
  </r>
  <r>
    <s v="Multiduct Placement"/>
    <s v="Additional multiduct placed along with first multiduct in trench"/>
    <s v="MCA"/>
    <s v="ft"/>
    <n v="0"/>
    <n v="0.65"/>
    <n v="0"/>
    <x v="2"/>
  </r>
  <r>
    <s v="Multiduct Placement"/>
    <s v="Horizontal Directional Drill up to 2&quot; OD for multiduct"/>
    <s v="MCA"/>
    <s v="ft"/>
    <n v="0"/>
    <n v="13"/>
    <n v="0"/>
    <x v="2"/>
  </r>
  <r>
    <s v="Multiduct Placement"/>
    <s v="Additional multiduct placed along with first multiduct in HDD"/>
    <s v="MCA"/>
    <s v="ft"/>
    <n v="0"/>
    <n v="1"/>
    <n v="0"/>
    <x v="2"/>
  </r>
  <r>
    <s v="Multiduct Placement"/>
    <s v="Place multiduct in existing conduit"/>
    <s v="MCA"/>
    <s v="ft"/>
    <n v="0"/>
    <n v="1"/>
    <n v="0"/>
    <x v="2"/>
  </r>
  <r>
    <s v="Multiduct Placement"/>
    <s v="Additional multiduct placed along with first multiduct in existing conduit"/>
    <s v="MCA"/>
    <s v="ft"/>
    <n v="0"/>
    <n v="0.65"/>
    <n v="0"/>
    <x v="2"/>
  </r>
  <r>
    <s v="Single Duct Placement"/>
    <s v="Drop duct placed in trench in right of way"/>
    <s v="MCA"/>
    <s v="ft"/>
    <n v="0"/>
    <n v="1"/>
    <n v="0"/>
    <x v="2"/>
  </r>
  <r>
    <s v="Single Duct Placement"/>
    <s v="Additional drop duct placed along with first drop duct or multiduct in trench"/>
    <s v="MCA"/>
    <s v="ft"/>
    <n v="0"/>
    <n v="0.65"/>
    <n v="0"/>
    <x v="2"/>
  </r>
  <r>
    <s v="Single Duct Placement"/>
    <s v="Horizontal Directional Drill for drops up to 2&quot; OD"/>
    <s v="MCA"/>
    <s v="ft"/>
    <n v="0"/>
    <n v="13"/>
    <n v="0"/>
    <x v="2"/>
  </r>
  <r>
    <s v="Single Duct Placement"/>
    <s v="Additional drop duct placed along with first drop duct or multiduct in HDD"/>
    <s v="MCA"/>
    <s v="ft"/>
    <n v="0"/>
    <n v="1"/>
    <n v="0"/>
    <x v="2"/>
  </r>
  <r>
    <s v="Single Duct Placement"/>
    <s v="Place drop duct in existing conduit"/>
    <s v="MCA"/>
    <s v="ft"/>
    <n v="0"/>
    <n v="1"/>
    <n v="0"/>
    <x v="2"/>
  </r>
  <r>
    <s v="Single Duct Placement"/>
    <s v="Additional drop duct placed along with first drop duct or multiduct in existing conduit"/>
    <s v="MCA"/>
    <s v="ft"/>
    <n v="0"/>
    <n v="0.65"/>
    <n v="0"/>
    <x v="2"/>
  </r>
  <r>
    <s v="Single Duct Placement"/>
    <s v="Drop duct placed in trench from right of way to fiber termination box"/>
    <s v="MCA"/>
    <s v="ft"/>
    <n v="0"/>
    <n v="1.5"/>
    <n v="0"/>
    <x v="2"/>
  </r>
  <r>
    <n v="0"/>
    <n v="0"/>
    <n v="0"/>
    <n v="0"/>
    <n v="0"/>
    <n v="0"/>
    <n v="0"/>
    <x v="2"/>
  </r>
  <r>
    <s v="DBC Installation"/>
    <s v="Pit for the placement of duct branch closures"/>
    <s v="MCA"/>
    <s v="each"/>
    <n v="0"/>
    <n v="100"/>
    <n v="0"/>
    <x v="2"/>
  </r>
  <r>
    <s v="DBC Installation"/>
    <s v="Install duct branch closure and connectors per location - 4 port"/>
    <n v="30"/>
    <s v="each"/>
    <n v="0"/>
    <n v="40"/>
    <n v="0"/>
    <x v="2"/>
  </r>
  <r>
    <s v="DBC Installation"/>
    <s v="Install duct branch closure and connectors per location - 8 port"/>
    <n v="40"/>
    <s v="each"/>
    <n v="0"/>
    <n v="53.333333333333329"/>
    <n v="0"/>
    <x v="2"/>
  </r>
  <r>
    <s v="DBC Installation"/>
    <s v="Install locate marker excluding material"/>
    <s v="MCA"/>
    <s v="each"/>
    <n v="0"/>
    <n v="15"/>
    <n v="0"/>
    <x v="2"/>
  </r>
  <r>
    <s v="DBC Installation"/>
    <s v="Microduct verification and labeling per microduct"/>
    <n v="7"/>
    <s v="each"/>
    <n v="0"/>
    <n v="9.3333333333333339"/>
    <n v="0"/>
    <x v="2"/>
  </r>
  <r>
    <s v="DBC Installation"/>
    <s v="Install Toby Box (flower pot) and terminate drop"/>
    <n v="10"/>
    <s v="each"/>
    <n v="0"/>
    <n v="13.333333333333332"/>
    <n v="0"/>
    <x v="2"/>
  </r>
  <r>
    <n v="0"/>
    <n v="0"/>
    <n v="0"/>
    <n v="0"/>
    <n v="0"/>
    <n v="0"/>
    <n v="0"/>
    <x v="2"/>
  </r>
  <r>
    <s v="F2 Fiber Installation"/>
    <s v="Air Blow Fiber from FDH to FDH"/>
    <n v="30"/>
    <s v="each"/>
    <n v="0"/>
    <n v="40"/>
    <n v="0"/>
    <x v="2"/>
  </r>
  <r>
    <s v="F2 Fiber Splicing"/>
    <s v="Splice setup fee at each FDH"/>
    <s v="MCA"/>
    <s v="each"/>
    <n v="0"/>
    <n v="80"/>
    <n v="0"/>
    <x v="2"/>
  </r>
  <r>
    <s v="F2 Fiber Splicing"/>
    <s v="Splice fibers at each FDH"/>
    <s v="MCA"/>
    <s v="each"/>
    <n v="0"/>
    <n v="25"/>
    <n v="0"/>
    <x v="2"/>
  </r>
  <r>
    <s v="F2 Fiber Spicing"/>
    <s v="OTDR test of fiber between FDHs"/>
    <s v="MCA"/>
    <s v="each"/>
    <n v="0"/>
    <n v="6"/>
    <n v="0"/>
    <x v="2"/>
  </r>
  <r>
    <s v="F2 Fiber Installation"/>
    <s v="Air Blow Fiber from FTB to FDH"/>
    <n v="20"/>
    <s v="each"/>
    <n v="0"/>
    <n v="26.666666666666664"/>
    <n v="0"/>
    <x v="2"/>
  </r>
  <r>
    <s v="F2 Fiber Splicing"/>
    <s v="Splice fibers at each FTB and FDH"/>
    <s v="MCA"/>
    <s v="each"/>
    <n v="0"/>
    <n v="25"/>
    <n v="0"/>
    <x v="2"/>
  </r>
  <r>
    <s v="F2 Fiber Spicing"/>
    <s v="OTDR test of fiber between FDHs"/>
    <s v="MCA"/>
    <s v="each"/>
    <n v="0"/>
    <n v="6"/>
    <n v="0"/>
    <x v="2"/>
  </r>
  <r>
    <m/>
    <m/>
    <m/>
    <m/>
    <m/>
    <m/>
    <n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9476" dataOnRows="1" applyNumberFormats="0" applyBorderFormats="0" applyFontFormats="0" applyPatternFormats="0" applyAlignmentFormats="0" applyWidthHeightFormats="1" dataCaption="Data" missingCaption="0" updatedVersion="8" minRefreshableVersion="3" showMemberPropertyTips="0" itemPrintTitles="1" createdVersion="6" indent="0" compact="0" compactData="0" gridDropZones="1">
  <location ref="A67:E69" firstHeaderRow="1" firstDataRow="2" firstDataCol="1"/>
  <pivotFields count="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axis="axisCol" compact="0" outline="0" subtotalTop="0" showAll="0" includeNewItemsInFilter="1">
      <items count="45">
        <item x="0"/>
        <item h="1" x="1"/>
        <item n="Construction" x="2"/>
        <item h="1" m="1" x="4"/>
        <item m="1" x="15"/>
        <item m="1" x="43"/>
        <item m="1" x="42"/>
        <item m="1" x="32"/>
        <item m="1" x="8"/>
        <item m="1" x="13"/>
        <item m="1" x="22"/>
        <item x="3"/>
        <item m="1" x="20"/>
        <item m="1" x="19"/>
        <item m="1" x="7"/>
        <item m="1" x="35"/>
        <item m="1" x="14"/>
        <item m="1" x="10"/>
        <item m="1" x="18"/>
        <item m="1" x="28"/>
        <item m="1" x="30"/>
        <item m="1" x="26"/>
        <item m="1" x="5"/>
        <item m="1" x="21"/>
        <item m="1" x="41"/>
        <item m="1" x="17"/>
        <item m="1" x="12"/>
        <item m="1" x="34"/>
        <item m="1" x="16"/>
        <item m="1" x="23"/>
        <item m="1" x="24"/>
        <item m="1" x="31"/>
        <item m="1" x="29"/>
        <item m="1" x="27"/>
        <item m="1" x="9"/>
        <item m="1" x="39"/>
        <item m="1" x="33"/>
        <item m="1" x="40"/>
        <item m="1" x="6"/>
        <item m="1" x="37"/>
        <item m="1" x="11"/>
        <item m="1" x="38"/>
        <item m="1" x="36"/>
        <item m="1" x="25"/>
        <item t="default"/>
      </items>
    </pivotField>
  </pivotFields>
  <rowItems count="1">
    <i/>
  </rowItems>
  <colFields count="1">
    <field x="7"/>
  </colFields>
  <colItems count="4">
    <i>
      <x/>
    </i>
    <i>
      <x v="2"/>
    </i>
    <i>
      <x v="11"/>
    </i>
    <i t="grand">
      <x/>
    </i>
  </colItems>
  <dataFields count="1">
    <dataField name="Sum of Extended Price" fld="6" baseField="0" baseItem="0"/>
  </dataFields>
  <formats count="38">
    <format dxfId="76">
      <pivotArea grandRow="1" outline="0" collapsedLevelsAreSubtotals="1" fieldPosition="0"/>
    </format>
    <format dxfId="77">
      <pivotArea dataOnly="0" labelOnly="1" grandRow="1" outline="0" fieldPosition="0"/>
    </format>
    <format dxfId="78">
      <pivotArea outline="0" collapsedLevelsAreSubtotals="1" fieldPosition="0"/>
    </format>
    <format dxfId="79">
      <pivotArea type="origin" dataOnly="0" labelOnly="1" outline="0" fieldPosition="0"/>
    </format>
    <format dxfId="80">
      <pivotArea field="7" type="button" dataOnly="0" labelOnly="1" outline="0" axis="axisCol" fieldPosition="0"/>
    </format>
    <format dxfId="81">
      <pivotArea type="topRight" dataOnly="0" labelOnly="1" outline="0" fieldPosition="0"/>
    </format>
    <format dxfId="82">
      <pivotArea dataOnly="0" labelOnly="1" grandCol="1" outline="0" fieldPosition="0"/>
    </format>
    <format dxfId="83">
      <pivotArea type="all" dataOnly="0" outline="0" collapsedLevelsAreSubtotals="1" fieldPosition="0"/>
    </format>
    <format dxfId="84">
      <pivotArea type="origin" dataOnly="0" labelOnly="1" outline="0" fieldPosition="0"/>
    </format>
    <format dxfId="85">
      <pivotArea field="7" type="button" dataOnly="0" labelOnly="1" outline="0" axis="axisCol" fieldPosition="0"/>
    </format>
    <format dxfId="86">
      <pivotArea type="topRight" dataOnly="0" labelOnly="1" outline="0" fieldPosition="0"/>
    </format>
    <format dxfId="87">
      <pivotArea dataOnly="0" labelOnly="1" grandCol="1" outline="0" fieldPosition="0"/>
    </format>
    <format dxfId="88">
      <pivotArea dataOnly="0" labelOnly="1" grandCol="1" outline="0" fieldPosition="0"/>
    </format>
    <format dxfId="89">
      <pivotArea grandRow="1" outline="0" collapsedLevelsAreSubtotals="1" fieldPosition="0"/>
    </format>
    <format dxfId="90">
      <pivotArea dataOnly="0" labelOnly="1" grandRow="1" outline="0" fieldPosition="0"/>
    </format>
    <format dxfId="91">
      <pivotArea type="all" dataOnly="0" outline="0" collapsedLevelsAreSubtotals="1" fieldPosition="0"/>
    </format>
    <format dxfId="92">
      <pivotArea outline="0" collapsedLevelsAreSubtotals="1" fieldPosition="0"/>
    </format>
    <format dxfId="93">
      <pivotArea type="origin" dataOnly="0" labelOnly="1" outline="0" fieldPosition="0"/>
    </format>
    <format dxfId="94">
      <pivotArea field="7" type="button" dataOnly="0" labelOnly="1" outline="0" axis="axisCol" fieldPosition="0"/>
    </format>
    <format dxfId="95">
      <pivotArea type="topRight" dataOnly="0" labelOnly="1" outline="0" fieldPosition="0"/>
    </format>
    <format dxfId="96">
      <pivotArea dataOnly="0" labelOnly="1" grandRow="1" outline="0" fieldPosition="0"/>
    </format>
    <format dxfId="97">
      <pivotArea dataOnly="0" labelOnly="1" grandCol="1" outline="0" fieldPosition="0"/>
    </format>
    <format dxfId="98">
      <pivotArea type="all" dataOnly="0" outline="0" collapsedLevelsAreSubtotals="1" fieldPosition="0"/>
    </format>
    <format dxfId="99">
      <pivotArea outline="0" collapsedLevelsAreSubtotals="1" fieldPosition="0"/>
    </format>
    <format dxfId="100">
      <pivotArea type="origin" dataOnly="0" labelOnly="1" outline="0" fieldPosition="0"/>
    </format>
    <format dxfId="101">
      <pivotArea field="7" type="button" dataOnly="0" labelOnly="1" outline="0" axis="axisCol" fieldPosition="0"/>
    </format>
    <format dxfId="102">
      <pivotArea type="topRight" dataOnly="0" labelOnly="1" outline="0" fieldPosition="0"/>
    </format>
    <format dxfId="103">
      <pivotArea dataOnly="0" labelOnly="1" grandRow="1" outline="0" fieldPosition="0"/>
    </format>
    <format dxfId="104">
      <pivotArea dataOnly="0" labelOnly="1" grandCol="1" outline="0" fieldPosition="0"/>
    </format>
    <format dxfId="105">
      <pivotArea type="origin" dataOnly="0" labelOnly="1" outline="0" fieldPosition="0"/>
    </format>
    <format dxfId="106">
      <pivotArea field="7" type="button" dataOnly="0" labelOnly="1" outline="0" axis="axisCol" fieldPosition="0"/>
    </format>
    <format dxfId="107">
      <pivotArea type="topRight" dataOnly="0" labelOnly="1" outline="0" fieldPosition="0"/>
    </format>
    <format dxfId="108">
      <pivotArea dataOnly="0" labelOnly="1" outline="0" fieldPosition="0">
        <references count="1">
          <reference field="7" count="0"/>
        </references>
      </pivotArea>
    </format>
    <format dxfId="109">
      <pivotArea type="all" dataOnly="0" outline="0" fieldPosition="0"/>
    </format>
    <format dxfId="110">
      <pivotArea outline="0" collapsedLevelsAreSubtotals="1" fieldPosition="0"/>
    </format>
    <format dxfId="111">
      <pivotArea type="origin" dataOnly="0" labelOnly="1" outline="0" fieldPosition="0"/>
    </format>
    <format dxfId="112">
      <pivotArea field="7" type="button" dataOnly="0" labelOnly="1" outline="0" axis="axisCol" fieldPosition="0"/>
    </format>
    <format dxfId="113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2339E-09A0-4ACC-BF3F-E1F81B57DB56}">
  <sheetPr codeName="Sheet1">
    <tabColor rgb="FFFFFF00"/>
  </sheetPr>
  <dimension ref="A1:H72"/>
  <sheetViews>
    <sheetView tabSelected="1" zoomScale="85" zoomScaleNormal="85" workbookViewId="0">
      <selection activeCell="H65" sqref="H65"/>
    </sheetView>
  </sheetViews>
  <sheetFormatPr defaultRowHeight="15"/>
  <cols>
    <col min="1" max="1" width="100.28515625" style="53" bestFit="1" customWidth="1"/>
    <col min="2" max="2" width="16.85546875" style="34" customWidth="1"/>
    <col min="3" max="3" width="23.42578125" style="93" customWidth="1"/>
    <col min="4" max="5" width="13" style="73" hidden="1" customWidth="1"/>
    <col min="6" max="6" width="13" style="53" hidden="1" customWidth="1"/>
    <col min="7" max="8" width="9.140625" style="53" customWidth="1"/>
    <col min="9" max="239" width="9.140625" style="53"/>
    <col min="240" max="240" width="100.28515625" style="53" bestFit="1" customWidth="1"/>
    <col min="241" max="241" width="16.85546875" style="53" customWidth="1"/>
    <col min="242" max="242" width="26.7109375" style="53" customWidth="1"/>
    <col min="243" max="246" width="12" style="53" customWidth="1"/>
    <col min="247" max="495" width="9.140625" style="53"/>
    <col min="496" max="496" width="100.28515625" style="53" bestFit="1" customWidth="1"/>
    <col min="497" max="497" width="16.85546875" style="53" customWidth="1"/>
    <col min="498" max="498" width="26.7109375" style="53" customWidth="1"/>
    <col min="499" max="502" width="12" style="53" customWidth="1"/>
    <col min="503" max="751" width="9.140625" style="53"/>
    <col min="752" max="752" width="100.28515625" style="53" bestFit="1" customWidth="1"/>
    <col min="753" max="753" width="16.85546875" style="53" customWidth="1"/>
    <col min="754" max="754" width="26.7109375" style="53" customWidth="1"/>
    <col min="755" max="758" width="12" style="53" customWidth="1"/>
    <col min="759" max="1007" width="9.140625" style="53"/>
    <col min="1008" max="1008" width="100.28515625" style="53" bestFit="1" customWidth="1"/>
    <col min="1009" max="1009" width="16.85546875" style="53" customWidth="1"/>
    <col min="1010" max="1010" width="26.7109375" style="53" customWidth="1"/>
    <col min="1011" max="1014" width="12" style="53" customWidth="1"/>
    <col min="1015" max="1263" width="9.140625" style="53"/>
    <col min="1264" max="1264" width="100.28515625" style="53" bestFit="1" customWidth="1"/>
    <col min="1265" max="1265" width="16.85546875" style="53" customWidth="1"/>
    <col min="1266" max="1266" width="26.7109375" style="53" customWidth="1"/>
    <col min="1267" max="1270" width="12" style="53" customWidth="1"/>
    <col min="1271" max="1519" width="9.140625" style="53"/>
    <col min="1520" max="1520" width="100.28515625" style="53" bestFit="1" customWidth="1"/>
    <col min="1521" max="1521" width="16.85546875" style="53" customWidth="1"/>
    <col min="1522" max="1522" width="26.7109375" style="53" customWidth="1"/>
    <col min="1523" max="1526" width="12" style="53" customWidth="1"/>
    <col min="1527" max="1775" width="9.140625" style="53"/>
    <col min="1776" max="1776" width="100.28515625" style="53" bestFit="1" customWidth="1"/>
    <col min="1777" max="1777" width="16.85546875" style="53" customWidth="1"/>
    <col min="1778" max="1778" width="26.7109375" style="53" customWidth="1"/>
    <col min="1779" max="1782" width="12" style="53" customWidth="1"/>
    <col min="1783" max="2031" width="9.140625" style="53"/>
    <col min="2032" max="2032" width="100.28515625" style="53" bestFit="1" customWidth="1"/>
    <col min="2033" max="2033" width="16.85546875" style="53" customWidth="1"/>
    <col min="2034" max="2034" width="26.7109375" style="53" customWidth="1"/>
    <col min="2035" max="2038" width="12" style="53" customWidth="1"/>
    <col min="2039" max="2287" width="9.140625" style="53"/>
    <col min="2288" max="2288" width="100.28515625" style="53" bestFit="1" customWidth="1"/>
    <col min="2289" max="2289" width="16.85546875" style="53" customWidth="1"/>
    <col min="2290" max="2290" width="26.7109375" style="53" customWidth="1"/>
    <col min="2291" max="2294" width="12" style="53" customWidth="1"/>
    <col min="2295" max="2543" width="9.140625" style="53"/>
    <col min="2544" max="2544" width="100.28515625" style="53" bestFit="1" customWidth="1"/>
    <col min="2545" max="2545" width="16.85546875" style="53" customWidth="1"/>
    <col min="2546" max="2546" width="26.7109375" style="53" customWidth="1"/>
    <col min="2547" max="2550" width="12" style="53" customWidth="1"/>
    <col min="2551" max="2799" width="9.140625" style="53"/>
    <col min="2800" max="2800" width="100.28515625" style="53" bestFit="1" customWidth="1"/>
    <col min="2801" max="2801" width="16.85546875" style="53" customWidth="1"/>
    <col min="2802" max="2802" width="26.7109375" style="53" customWidth="1"/>
    <col min="2803" max="2806" width="12" style="53" customWidth="1"/>
    <col min="2807" max="3055" width="9.140625" style="53"/>
    <col min="3056" max="3056" width="100.28515625" style="53" bestFit="1" customWidth="1"/>
    <col min="3057" max="3057" width="16.85546875" style="53" customWidth="1"/>
    <col min="3058" max="3058" width="26.7109375" style="53" customWidth="1"/>
    <col min="3059" max="3062" width="12" style="53" customWidth="1"/>
    <col min="3063" max="3311" width="9.140625" style="53"/>
    <col min="3312" max="3312" width="100.28515625" style="53" bestFit="1" customWidth="1"/>
    <col min="3313" max="3313" width="16.85546875" style="53" customWidth="1"/>
    <col min="3314" max="3314" width="26.7109375" style="53" customWidth="1"/>
    <col min="3315" max="3318" width="12" style="53" customWidth="1"/>
    <col min="3319" max="3567" width="9.140625" style="53"/>
    <col min="3568" max="3568" width="100.28515625" style="53" bestFit="1" customWidth="1"/>
    <col min="3569" max="3569" width="16.85546875" style="53" customWidth="1"/>
    <col min="3570" max="3570" width="26.7109375" style="53" customWidth="1"/>
    <col min="3571" max="3574" width="12" style="53" customWidth="1"/>
    <col min="3575" max="3823" width="9.140625" style="53"/>
    <col min="3824" max="3824" width="100.28515625" style="53" bestFit="1" customWidth="1"/>
    <col min="3825" max="3825" width="16.85546875" style="53" customWidth="1"/>
    <col min="3826" max="3826" width="26.7109375" style="53" customWidth="1"/>
    <col min="3827" max="3830" width="12" style="53" customWidth="1"/>
    <col min="3831" max="4079" width="9.140625" style="53"/>
    <col min="4080" max="4080" width="100.28515625" style="53" bestFit="1" customWidth="1"/>
    <col min="4081" max="4081" width="16.85546875" style="53" customWidth="1"/>
    <col min="4082" max="4082" width="26.7109375" style="53" customWidth="1"/>
    <col min="4083" max="4086" width="12" style="53" customWidth="1"/>
    <col min="4087" max="4335" width="9.140625" style="53"/>
    <col min="4336" max="4336" width="100.28515625" style="53" bestFit="1" customWidth="1"/>
    <col min="4337" max="4337" width="16.85546875" style="53" customWidth="1"/>
    <col min="4338" max="4338" width="26.7109375" style="53" customWidth="1"/>
    <col min="4339" max="4342" width="12" style="53" customWidth="1"/>
    <col min="4343" max="4591" width="9.140625" style="53"/>
    <col min="4592" max="4592" width="100.28515625" style="53" bestFit="1" customWidth="1"/>
    <col min="4593" max="4593" width="16.85546875" style="53" customWidth="1"/>
    <col min="4594" max="4594" width="26.7109375" style="53" customWidth="1"/>
    <col min="4595" max="4598" width="12" style="53" customWidth="1"/>
    <col min="4599" max="4847" width="9.140625" style="53"/>
    <col min="4848" max="4848" width="100.28515625" style="53" bestFit="1" customWidth="1"/>
    <col min="4849" max="4849" width="16.85546875" style="53" customWidth="1"/>
    <col min="4850" max="4850" width="26.7109375" style="53" customWidth="1"/>
    <col min="4851" max="4854" width="12" style="53" customWidth="1"/>
    <col min="4855" max="5103" width="9.140625" style="53"/>
    <col min="5104" max="5104" width="100.28515625" style="53" bestFit="1" customWidth="1"/>
    <col min="5105" max="5105" width="16.85546875" style="53" customWidth="1"/>
    <col min="5106" max="5106" width="26.7109375" style="53" customWidth="1"/>
    <col min="5107" max="5110" width="12" style="53" customWidth="1"/>
    <col min="5111" max="5359" width="9.140625" style="53"/>
    <col min="5360" max="5360" width="100.28515625" style="53" bestFit="1" customWidth="1"/>
    <col min="5361" max="5361" width="16.85546875" style="53" customWidth="1"/>
    <col min="5362" max="5362" width="26.7109375" style="53" customWidth="1"/>
    <col min="5363" max="5366" width="12" style="53" customWidth="1"/>
    <col min="5367" max="5615" width="9.140625" style="53"/>
    <col min="5616" max="5616" width="100.28515625" style="53" bestFit="1" customWidth="1"/>
    <col min="5617" max="5617" width="16.85546875" style="53" customWidth="1"/>
    <col min="5618" max="5618" width="26.7109375" style="53" customWidth="1"/>
    <col min="5619" max="5622" width="12" style="53" customWidth="1"/>
    <col min="5623" max="5871" width="9.140625" style="53"/>
    <col min="5872" max="5872" width="100.28515625" style="53" bestFit="1" customWidth="1"/>
    <col min="5873" max="5873" width="16.85546875" style="53" customWidth="1"/>
    <col min="5874" max="5874" width="26.7109375" style="53" customWidth="1"/>
    <col min="5875" max="5878" width="12" style="53" customWidth="1"/>
    <col min="5879" max="6127" width="9.140625" style="53"/>
    <col min="6128" max="6128" width="100.28515625" style="53" bestFit="1" customWidth="1"/>
    <col min="6129" max="6129" width="16.85546875" style="53" customWidth="1"/>
    <col min="6130" max="6130" width="26.7109375" style="53" customWidth="1"/>
    <col min="6131" max="6134" width="12" style="53" customWidth="1"/>
    <col min="6135" max="6383" width="9.140625" style="53"/>
    <col min="6384" max="6384" width="100.28515625" style="53" bestFit="1" customWidth="1"/>
    <col min="6385" max="6385" width="16.85546875" style="53" customWidth="1"/>
    <col min="6386" max="6386" width="26.7109375" style="53" customWidth="1"/>
    <col min="6387" max="6390" width="12" style="53" customWidth="1"/>
    <col min="6391" max="6639" width="9.140625" style="53"/>
    <col min="6640" max="6640" width="100.28515625" style="53" bestFit="1" customWidth="1"/>
    <col min="6641" max="6641" width="16.85546875" style="53" customWidth="1"/>
    <col min="6642" max="6642" width="26.7109375" style="53" customWidth="1"/>
    <col min="6643" max="6646" width="12" style="53" customWidth="1"/>
    <col min="6647" max="6895" width="9.140625" style="53"/>
    <col min="6896" max="6896" width="100.28515625" style="53" bestFit="1" customWidth="1"/>
    <col min="6897" max="6897" width="16.85546875" style="53" customWidth="1"/>
    <col min="6898" max="6898" width="26.7109375" style="53" customWidth="1"/>
    <col min="6899" max="6902" width="12" style="53" customWidth="1"/>
    <col min="6903" max="7151" width="9.140625" style="53"/>
    <col min="7152" max="7152" width="100.28515625" style="53" bestFit="1" customWidth="1"/>
    <col min="7153" max="7153" width="16.85546875" style="53" customWidth="1"/>
    <col min="7154" max="7154" width="26.7109375" style="53" customWidth="1"/>
    <col min="7155" max="7158" width="12" style="53" customWidth="1"/>
    <col min="7159" max="7407" width="9.140625" style="53"/>
    <col min="7408" max="7408" width="100.28515625" style="53" bestFit="1" customWidth="1"/>
    <col min="7409" max="7409" width="16.85546875" style="53" customWidth="1"/>
    <col min="7410" max="7410" width="26.7109375" style="53" customWidth="1"/>
    <col min="7411" max="7414" width="12" style="53" customWidth="1"/>
    <col min="7415" max="7663" width="9.140625" style="53"/>
    <col min="7664" max="7664" width="100.28515625" style="53" bestFit="1" customWidth="1"/>
    <col min="7665" max="7665" width="16.85546875" style="53" customWidth="1"/>
    <col min="7666" max="7666" width="26.7109375" style="53" customWidth="1"/>
    <col min="7667" max="7670" width="12" style="53" customWidth="1"/>
    <col min="7671" max="7919" width="9.140625" style="53"/>
    <col min="7920" max="7920" width="100.28515625" style="53" bestFit="1" customWidth="1"/>
    <col min="7921" max="7921" width="16.85546875" style="53" customWidth="1"/>
    <col min="7922" max="7922" width="26.7109375" style="53" customWidth="1"/>
    <col min="7923" max="7926" width="12" style="53" customWidth="1"/>
    <col min="7927" max="8175" width="9.140625" style="53"/>
    <col min="8176" max="8176" width="100.28515625" style="53" bestFit="1" customWidth="1"/>
    <col min="8177" max="8177" width="16.85546875" style="53" customWidth="1"/>
    <col min="8178" max="8178" width="26.7109375" style="53" customWidth="1"/>
    <col min="8179" max="8182" width="12" style="53" customWidth="1"/>
    <col min="8183" max="8431" width="9.140625" style="53"/>
    <col min="8432" max="8432" width="100.28515625" style="53" bestFit="1" customWidth="1"/>
    <col min="8433" max="8433" width="16.85546875" style="53" customWidth="1"/>
    <col min="8434" max="8434" width="26.7109375" style="53" customWidth="1"/>
    <col min="8435" max="8438" width="12" style="53" customWidth="1"/>
    <col min="8439" max="8687" width="9.140625" style="53"/>
    <col min="8688" max="8688" width="100.28515625" style="53" bestFit="1" customWidth="1"/>
    <col min="8689" max="8689" width="16.85546875" style="53" customWidth="1"/>
    <col min="8690" max="8690" width="26.7109375" style="53" customWidth="1"/>
    <col min="8691" max="8694" width="12" style="53" customWidth="1"/>
    <col min="8695" max="8943" width="9.140625" style="53"/>
    <col min="8944" max="8944" width="100.28515625" style="53" bestFit="1" customWidth="1"/>
    <col min="8945" max="8945" width="16.85546875" style="53" customWidth="1"/>
    <col min="8946" max="8946" width="26.7109375" style="53" customWidth="1"/>
    <col min="8947" max="8950" width="12" style="53" customWidth="1"/>
    <col min="8951" max="9199" width="9.140625" style="53"/>
    <col min="9200" max="9200" width="100.28515625" style="53" bestFit="1" customWidth="1"/>
    <col min="9201" max="9201" width="16.85546875" style="53" customWidth="1"/>
    <col min="9202" max="9202" width="26.7109375" style="53" customWidth="1"/>
    <col min="9203" max="9206" width="12" style="53" customWidth="1"/>
    <col min="9207" max="9455" width="9.140625" style="53"/>
    <col min="9456" max="9456" width="100.28515625" style="53" bestFit="1" customWidth="1"/>
    <col min="9457" max="9457" width="16.85546875" style="53" customWidth="1"/>
    <col min="9458" max="9458" width="26.7109375" style="53" customWidth="1"/>
    <col min="9459" max="9462" width="12" style="53" customWidth="1"/>
    <col min="9463" max="9711" width="9.140625" style="53"/>
    <col min="9712" max="9712" width="100.28515625" style="53" bestFit="1" customWidth="1"/>
    <col min="9713" max="9713" width="16.85546875" style="53" customWidth="1"/>
    <col min="9714" max="9714" width="26.7109375" style="53" customWidth="1"/>
    <col min="9715" max="9718" width="12" style="53" customWidth="1"/>
    <col min="9719" max="9967" width="9.140625" style="53"/>
    <col min="9968" max="9968" width="100.28515625" style="53" bestFit="1" customWidth="1"/>
    <col min="9969" max="9969" width="16.85546875" style="53" customWidth="1"/>
    <col min="9970" max="9970" width="26.7109375" style="53" customWidth="1"/>
    <col min="9971" max="9974" width="12" style="53" customWidth="1"/>
    <col min="9975" max="10223" width="9.140625" style="53"/>
    <col min="10224" max="10224" width="100.28515625" style="53" bestFit="1" customWidth="1"/>
    <col min="10225" max="10225" width="16.85546875" style="53" customWidth="1"/>
    <col min="10226" max="10226" width="26.7109375" style="53" customWidth="1"/>
    <col min="10227" max="10230" width="12" style="53" customWidth="1"/>
    <col min="10231" max="10479" width="9.140625" style="53"/>
    <col min="10480" max="10480" width="100.28515625" style="53" bestFit="1" customWidth="1"/>
    <col min="10481" max="10481" width="16.85546875" style="53" customWidth="1"/>
    <col min="10482" max="10482" width="26.7109375" style="53" customWidth="1"/>
    <col min="10483" max="10486" width="12" style="53" customWidth="1"/>
    <col min="10487" max="10735" width="9.140625" style="53"/>
    <col min="10736" max="10736" width="100.28515625" style="53" bestFit="1" customWidth="1"/>
    <col min="10737" max="10737" width="16.85546875" style="53" customWidth="1"/>
    <col min="10738" max="10738" width="26.7109375" style="53" customWidth="1"/>
    <col min="10739" max="10742" width="12" style="53" customWidth="1"/>
    <col min="10743" max="10991" width="9.140625" style="53"/>
    <col min="10992" max="10992" width="100.28515625" style="53" bestFit="1" customWidth="1"/>
    <col min="10993" max="10993" width="16.85546875" style="53" customWidth="1"/>
    <col min="10994" max="10994" width="26.7109375" style="53" customWidth="1"/>
    <col min="10995" max="10998" width="12" style="53" customWidth="1"/>
    <col min="10999" max="11247" width="9.140625" style="53"/>
    <col min="11248" max="11248" width="100.28515625" style="53" bestFit="1" customWidth="1"/>
    <col min="11249" max="11249" width="16.85546875" style="53" customWidth="1"/>
    <col min="11250" max="11250" width="26.7109375" style="53" customWidth="1"/>
    <col min="11251" max="11254" width="12" style="53" customWidth="1"/>
    <col min="11255" max="11503" width="9.140625" style="53"/>
    <col min="11504" max="11504" width="100.28515625" style="53" bestFit="1" customWidth="1"/>
    <col min="11505" max="11505" width="16.85546875" style="53" customWidth="1"/>
    <col min="11506" max="11506" width="26.7109375" style="53" customWidth="1"/>
    <col min="11507" max="11510" width="12" style="53" customWidth="1"/>
    <col min="11511" max="11759" width="9.140625" style="53"/>
    <col min="11760" max="11760" width="100.28515625" style="53" bestFit="1" customWidth="1"/>
    <col min="11761" max="11761" width="16.85546875" style="53" customWidth="1"/>
    <col min="11762" max="11762" width="26.7109375" style="53" customWidth="1"/>
    <col min="11763" max="11766" width="12" style="53" customWidth="1"/>
    <col min="11767" max="12015" width="9.140625" style="53"/>
    <col min="12016" max="12016" width="100.28515625" style="53" bestFit="1" customWidth="1"/>
    <col min="12017" max="12017" width="16.85546875" style="53" customWidth="1"/>
    <col min="12018" max="12018" width="26.7109375" style="53" customWidth="1"/>
    <col min="12019" max="12022" width="12" style="53" customWidth="1"/>
    <col min="12023" max="12271" width="9.140625" style="53"/>
    <col min="12272" max="12272" width="100.28515625" style="53" bestFit="1" customWidth="1"/>
    <col min="12273" max="12273" width="16.85546875" style="53" customWidth="1"/>
    <col min="12274" max="12274" width="26.7109375" style="53" customWidth="1"/>
    <col min="12275" max="12278" width="12" style="53" customWidth="1"/>
    <col min="12279" max="12527" width="9.140625" style="53"/>
    <col min="12528" max="12528" width="100.28515625" style="53" bestFit="1" customWidth="1"/>
    <col min="12529" max="12529" width="16.85546875" style="53" customWidth="1"/>
    <col min="12530" max="12530" width="26.7109375" style="53" customWidth="1"/>
    <col min="12531" max="12534" width="12" style="53" customWidth="1"/>
    <col min="12535" max="12783" width="9.140625" style="53"/>
    <col min="12784" max="12784" width="100.28515625" style="53" bestFit="1" customWidth="1"/>
    <col min="12785" max="12785" width="16.85546875" style="53" customWidth="1"/>
    <col min="12786" max="12786" width="26.7109375" style="53" customWidth="1"/>
    <col min="12787" max="12790" width="12" style="53" customWidth="1"/>
    <col min="12791" max="13039" width="9.140625" style="53"/>
    <col min="13040" max="13040" width="100.28515625" style="53" bestFit="1" customWidth="1"/>
    <col min="13041" max="13041" width="16.85546875" style="53" customWidth="1"/>
    <col min="13042" max="13042" width="26.7109375" style="53" customWidth="1"/>
    <col min="13043" max="13046" width="12" style="53" customWidth="1"/>
    <col min="13047" max="13295" width="9.140625" style="53"/>
    <col min="13296" max="13296" width="100.28515625" style="53" bestFit="1" customWidth="1"/>
    <col min="13297" max="13297" width="16.85546875" style="53" customWidth="1"/>
    <col min="13298" max="13298" width="26.7109375" style="53" customWidth="1"/>
    <col min="13299" max="13302" width="12" style="53" customWidth="1"/>
    <col min="13303" max="13551" width="9.140625" style="53"/>
    <col min="13552" max="13552" width="100.28515625" style="53" bestFit="1" customWidth="1"/>
    <col min="13553" max="13553" width="16.85546875" style="53" customWidth="1"/>
    <col min="13554" max="13554" width="26.7109375" style="53" customWidth="1"/>
    <col min="13555" max="13558" width="12" style="53" customWidth="1"/>
    <col min="13559" max="13807" width="9.140625" style="53"/>
    <col min="13808" max="13808" width="100.28515625" style="53" bestFit="1" customWidth="1"/>
    <col min="13809" max="13809" width="16.85546875" style="53" customWidth="1"/>
    <col min="13810" max="13810" width="26.7109375" style="53" customWidth="1"/>
    <col min="13811" max="13814" width="12" style="53" customWidth="1"/>
    <col min="13815" max="14063" width="9.140625" style="53"/>
    <col min="14064" max="14064" width="100.28515625" style="53" bestFit="1" customWidth="1"/>
    <col min="14065" max="14065" width="16.85546875" style="53" customWidth="1"/>
    <col min="14066" max="14066" width="26.7109375" style="53" customWidth="1"/>
    <col min="14067" max="14070" width="12" style="53" customWidth="1"/>
    <col min="14071" max="14319" width="9.140625" style="53"/>
    <col min="14320" max="14320" width="100.28515625" style="53" bestFit="1" customWidth="1"/>
    <col min="14321" max="14321" width="16.85546875" style="53" customWidth="1"/>
    <col min="14322" max="14322" width="26.7109375" style="53" customWidth="1"/>
    <col min="14323" max="14326" width="12" style="53" customWidth="1"/>
    <col min="14327" max="14575" width="9.140625" style="53"/>
    <col min="14576" max="14576" width="100.28515625" style="53" bestFit="1" customWidth="1"/>
    <col min="14577" max="14577" width="16.85546875" style="53" customWidth="1"/>
    <col min="14578" max="14578" width="26.7109375" style="53" customWidth="1"/>
    <col min="14579" max="14582" width="12" style="53" customWidth="1"/>
    <col min="14583" max="14831" width="9.140625" style="53"/>
    <col min="14832" max="14832" width="100.28515625" style="53" bestFit="1" customWidth="1"/>
    <col min="14833" max="14833" width="16.85546875" style="53" customWidth="1"/>
    <col min="14834" max="14834" width="26.7109375" style="53" customWidth="1"/>
    <col min="14835" max="14838" width="12" style="53" customWidth="1"/>
    <col min="14839" max="15087" width="9.140625" style="53"/>
    <col min="15088" max="15088" width="100.28515625" style="53" bestFit="1" customWidth="1"/>
    <col min="15089" max="15089" width="16.85546875" style="53" customWidth="1"/>
    <col min="15090" max="15090" width="26.7109375" style="53" customWidth="1"/>
    <col min="15091" max="15094" width="12" style="53" customWidth="1"/>
    <col min="15095" max="15343" width="9.140625" style="53"/>
    <col min="15344" max="15344" width="100.28515625" style="53" bestFit="1" customWidth="1"/>
    <col min="15345" max="15345" width="16.85546875" style="53" customWidth="1"/>
    <col min="15346" max="15346" width="26.7109375" style="53" customWidth="1"/>
    <col min="15347" max="15350" width="12" style="53" customWidth="1"/>
    <col min="15351" max="15599" width="9.140625" style="53"/>
    <col min="15600" max="15600" width="100.28515625" style="53" bestFit="1" customWidth="1"/>
    <col min="15601" max="15601" width="16.85546875" style="53" customWidth="1"/>
    <col min="15602" max="15602" width="26.7109375" style="53" customWidth="1"/>
    <col min="15603" max="15606" width="12" style="53" customWidth="1"/>
    <col min="15607" max="15855" width="9.140625" style="53"/>
    <col min="15856" max="15856" width="100.28515625" style="53" bestFit="1" customWidth="1"/>
    <col min="15857" max="15857" width="16.85546875" style="53" customWidth="1"/>
    <col min="15858" max="15858" width="26.7109375" style="53" customWidth="1"/>
    <col min="15859" max="15862" width="12" style="53" customWidth="1"/>
    <col min="15863" max="16111" width="9.140625" style="53"/>
    <col min="16112" max="16112" width="100.28515625" style="53" bestFit="1" customWidth="1"/>
    <col min="16113" max="16113" width="16.85546875" style="53" customWidth="1"/>
    <col min="16114" max="16114" width="26.7109375" style="53" customWidth="1"/>
    <col min="16115" max="16118" width="12" style="53" customWidth="1"/>
    <col min="16119" max="16384" width="9.140625" style="53"/>
  </cols>
  <sheetData>
    <row r="1" spans="1:6" ht="52.5">
      <c r="A1" s="94" t="s">
        <v>0</v>
      </c>
      <c r="B1" s="63"/>
      <c r="C1" s="78"/>
      <c r="D1" s="79"/>
    </row>
    <row r="2" spans="1:6" s="32" customFormat="1" ht="18.75" customHeight="1">
      <c r="A2" s="64" t="s">
        <v>1</v>
      </c>
      <c r="B2" s="56" t="s">
        <v>2</v>
      </c>
      <c r="C2" s="80" t="s">
        <v>3</v>
      </c>
      <c r="D2" s="79"/>
      <c r="E2" s="79"/>
    </row>
    <row r="3" spans="1:6" ht="18.75" customHeight="1">
      <c r="A3" s="65" t="s">
        <v>4</v>
      </c>
      <c r="B3" s="57" t="s">
        <v>2</v>
      </c>
      <c r="C3" s="81" t="s">
        <v>3</v>
      </c>
      <c r="D3" s="137" t="s">
        <v>5</v>
      </c>
      <c r="E3" s="138">
        <f>C4+C6+C8+C9</f>
        <v>0</v>
      </c>
    </row>
    <row r="4" spans="1:6" ht="18.75" customHeight="1">
      <c r="A4" s="66" t="s">
        <v>6</v>
      </c>
      <c r="B4" s="27" t="s">
        <v>7</v>
      </c>
      <c r="C4" s="82">
        <v>0</v>
      </c>
    </row>
    <row r="5" spans="1:6" ht="18.75" customHeight="1">
      <c r="A5" s="66" t="s">
        <v>8</v>
      </c>
      <c r="B5" s="27" t="s">
        <v>7</v>
      </c>
      <c r="C5" s="82">
        <v>0</v>
      </c>
    </row>
    <row r="6" spans="1:6" ht="18.75" customHeight="1">
      <c r="A6" s="66" t="s">
        <v>9</v>
      </c>
      <c r="B6" s="27" t="s">
        <v>7</v>
      </c>
      <c r="C6" s="82">
        <v>0</v>
      </c>
    </row>
    <row r="7" spans="1:6" ht="18.75" customHeight="1">
      <c r="A7" s="66" t="s">
        <v>10</v>
      </c>
      <c r="B7" s="27" t="s">
        <v>7</v>
      </c>
      <c r="C7" s="82">
        <v>0</v>
      </c>
    </row>
    <row r="8" spans="1:6" ht="18.75" customHeight="1">
      <c r="A8" s="66" t="s">
        <v>11</v>
      </c>
      <c r="B8" s="27" t="s">
        <v>7</v>
      </c>
      <c r="C8" s="82">
        <v>0</v>
      </c>
    </row>
    <row r="9" spans="1:6" ht="18.75" customHeight="1">
      <c r="A9" s="66" t="s">
        <v>12</v>
      </c>
      <c r="B9" s="27" t="s">
        <v>7</v>
      </c>
      <c r="C9" s="82">
        <v>0</v>
      </c>
    </row>
    <row r="10" spans="1:6" ht="18.75" customHeight="1">
      <c r="A10" s="75" t="s">
        <v>13</v>
      </c>
      <c r="B10" s="76" t="s">
        <v>7</v>
      </c>
      <c r="C10" s="84">
        <f>C4+C6+C8+C9</f>
        <v>0</v>
      </c>
    </row>
    <row r="11" spans="1:6" ht="18.75" customHeight="1">
      <c r="A11" s="64" t="s">
        <v>14</v>
      </c>
      <c r="B11" s="56" t="s">
        <v>2</v>
      </c>
      <c r="C11" s="80" t="s">
        <v>3</v>
      </c>
    </row>
    <row r="12" spans="1:6" ht="18.75" customHeight="1">
      <c r="A12" s="67" t="s">
        <v>15</v>
      </c>
      <c r="B12" s="33" t="s">
        <v>2</v>
      </c>
      <c r="C12" s="91" t="s">
        <v>3</v>
      </c>
      <c r="D12" s="86">
        <f>C13+C14+C16+C17+C19+C20</f>
        <v>0</v>
      </c>
      <c r="E12" s="86">
        <f>'Trenching Worksheet'!K28+'Drop Placement Worksheet'!J182</f>
        <v>0</v>
      </c>
      <c r="F12" s="74">
        <f>D12-E12</f>
        <v>0</v>
      </c>
    </row>
    <row r="13" spans="1:6" ht="18.75" customHeight="1">
      <c r="A13" s="68" t="s">
        <v>16</v>
      </c>
      <c r="B13" s="58" t="s">
        <v>17</v>
      </c>
      <c r="C13" s="87">
        <f>'Trenching Worksheet'!E28+'Drop Placement Worksheet'!D182</f>
        <v>0</v>
      </c>
    </row>
    <row r="14" spans="1:6" ht="18.75" customHeight="1">
      <c r="A14" s="68" t="s">
        <v>18</v>
      </c>
      <c r="B14" s="58" t="s">
        <v>17</v>
      </c>
      <c r="C14" s="87">
        <f>'Trenching Worksheet'!F28+'Drop Placement Worksheet'!E182</f>
        <v>0</v>
      </c>
    </row>
    <row r="15" spans="1:6" ht="18.75" customHeight="1">
      <c r="A15" s="67" t="s">
        <v>19</v>
      </c>
      <c r="B15" s="33" t="s">
        <v>2</v>
      </c>
      <c r="C15" s="85" t="s">
        <v>3</v>
      </c>
    </row>
    <row r="16" spans="1:6" ht="18.75" customHeight="1">
      <c r="A16" s="68" t="s">
        <v>20</v>
      </c>
      <c r="B16" s="58" t="s">
        <v>17</v>
      </c>
      <c r="C16" s="87">
        <f>'Trenching Worksheet'!G28+'Drop Placement Worksheet'!F182</f>
        <v>0</v>
      </c>
    </row>
    <row r="17" spans="1:4" ht="18.75" customHeight="1">
      <c r="A17" s="68" t="s">
        <v>21</v>
      </c>
      <c r="B17" s="58" t="s">
        <v>17</v>
      </c>
      <c r="C17" s="87">
        <f>'Trenching Worksheet'!H28+'Drop Placement Worksheet'!G182</f>
        <v>0</v>
      </c>
    </row>
    <row r="18" spans="1:4" ht="18.75" customHeight="1">
      <c r="A18" s="67" t="s">
        <v>22</v>
      </c>
      <c r="B18" s="33" t="s">
        <v>2</v>
      </c>
      <c r="C18" s="85" t="s">
        <v>3</v>
      </c>
    </row>
    <row r="19" spans="1:4">
      <c r="A19" s="68" t="s">
        <v>23</v>
      </c>
      <c r="B19" s="58" t="s">
        <v>17</v>
      </c>
      <c r="C19" s="87">
        <f>'Trenching Worksheet'!I28+'Drop Placement Worksheet'!H182</f>
        <v>0</v>
      </c>
    </row>
    <row r="20" spans="1:4">
      <c r="A20" s="68" t="s">
        <v>24</v>
      </c>
      <c r="B20" s="58" t="s">
        <v>17</v>
      </c>
      <c r="C20" s="87">
        <f>'Trenching Worksheet'!J28+'Drop Placement Worksheet'!I182</f>
        <v>0</v>
      </c>
    </row>
    <row r="21" spans="1:4" ht="18.75" customHeight="1">
      <c r="A21" s="64" t="s">
        <v>25</v>
      </c>
      <c r="B21" s="56" t="s">
        <v>2</v>
      </c>
      <c r="C21" s="80" t="s">
        <v>3</v>
      </c>
    </row>
    <row r="22" spans="1:4" ht="18.75" customHeight="1">
      <c r="A22" s="69" t="s">
        <v>26</v>
      </c>
      <c r="B22" s="59" t="s">
        <v>2</v>
      </c>
      <c r="C22" s="88" t="s">
        <v>3</v>
      </c>
      <c r="D22" s="88" t="s">
        <v>27</v>
      </c>
    </row>
    <row r="23" spans="1:4" ht="18.75" customHeight="1">
      <c r="A23" s="70" t="s">
        <v>28</v>
      </c>
      <c r="B23" s="60" t="s">
        <v>17</v>
      </c>
      <c r="C23" s="89">
        <v>0</v>
      </c>
      <c r="D23" s="90">
        <f>C23*1.1</f>
        <v>0</v>
      </c>
    </row>
    <row r="24" spans="1:4" ht="18.75" customHeight="1">
      <c r="A24" s="70" t="s">
        <v>29</v>
      </c>
      <c r="B24" s="60" t="s">
        <v>17</v>
      </c>
      <c r="C24" s="89">
        <v>0</v>
      </c>
      <c r="D24" s="90">
        <f t="shared" ref="D24:D26" si="0">C24*1.1</f>
        <v>0</v>
      </c>
    </row>
    <row r="25" spans="1:4" ht="18.75" customHeight="1">
      <c r="A25" s="70" t="s">
        <v>30</v>
      </c>
      <c r="B25" s="60" t="s">
        <v>17</v>
      </c>
      <c r="C25" s="89">
        <v>0</v>
      </c>
      <c r="D25" s="90">
        <f t="shared" si="0"/>
        <v>0</v>
      </c>
    </row>
    <row r="26" spans="1:4" ht="18.75" customHeight="1">
      <c r="A26" s="70" t="s">
        <v>31</v>
      </c>
      <c r="B26" s="60" t="s">
        <v>17</v>
      </c>
      <c r="C26" s="89">
        <v>0</v>
      </c>
      <c r="D26" s="90">
        <f t="shared" si="0"/>
        <v>0</v>
      </c>
    </row>
    <row r="27" spans="1:4" ht="18.75" customHeight="1">
      <c r="A27" s="69" t="s">
        <v>32</v>
      </c>
      <c r="B27" s="59" t="s">
        <v>2</v>
      </c>
      <c r="C27" s="88" t="s">
        <v>3</v>
      </c>
    </row>
    <row r="28" spans="1:4" ht="18.75" customHeight="1">
      <c r="A28" s="70" t="s">
        <v>33</v>
      </c>
      <c r="B28" s="60" t="s">
        <v>7</v>
      </c>
      <c r="C28" s="89">
        <v>0</v>
      </c>
    </row>
    <row r="29" spans="1:4" ht="18.75" customHeight="1">
      <c r="A29" s="70" t="s">
        <v>34</v>
      </c>
      <c r="B29" s="60" t="s">
        <v>7</v>
      </c>
      <c r="C29" s="89">
        <v>0</v>
      </c>
    </row>
    <row r="30" spans="1:4" ht="18.75" customHeight="1">
      <c r="A30" s="70" t="s">
        <v>35</v>
      </c>
      <c r="B30" s="60" t="s">
        <v>7</v>
      </c>
      <c r="C30" s="89">
        <v>0</v>
      </c>
    </row>
    <row r="31" spans="1:4" ht="18.75" customHeight="1">
      <c r="A31" s="70" t="s">
        <v>36</v>
      </c>
      <c r="B31" s="60" t="s">
        <v>7</v>
      </c>
      <c r="C31" s="89">
        <v>0</v>
      </c>
    </row>
    <row r="32" spans="1:4" ht="18.75" customHeight="1">
      <c r="A32" s="70" t="s">
        <v>37</v>
      </c>
      <c r="B32" s="60" t="s">
        <v>7</v>
      </c>
      <c r="C32" s="89">
        <v>0</v>
      </c>
    </row>
    <row r="33" spans="1:8" ht="18.75" customHeight="1">
      <c r="A33" s="70" t="s">
        <v>38</v>
      </c>
      <c r="B33" s="60" t="s">
        <v>7</v>
      </c>
      <c r="C33" s="89">
        <v>0</v>
      </c>
    </row>
    <row r="34" spans="1:8" ht="18.75" customHeight="1">
      <c r="A34" s="70" t="s">
        <v>39</v>
      </c>
      <c r="B34" s="60" t="s">
        <v>7</v>
      </c>
      <c r="C34" s="89">
        <v>0</v>
      </c>
    </row>
    <row r="35" spans="1:8" ht="18.75" customHeight="1">
      <c r="A35" s="70" t="s">
        <v>40</v>
      </c>
      <c r="B35" s="60" t="s">
        <v>7</v>
      </c>
      <c r="C35" s="89">
        <v>0</v>
      </c>
    </row>
    <row r="36" spans="1:8" ht="18.75" customHeight="1">
      <c r="A36" s="70" t="s">
        <v>41</v>
      </c>
      <c r="B36" s="60" t="s">
        <v>7</v>
      </c>
      <c r="C36" s="89">
        <v>0</v>
      </c>
    </row>
    <row r="37" spans="1:8" ht="18.75" customHeight="1">
      <c r="A37" s="70" t="s">
        <v>42</v>
      </c>
      <c r="B37" s="60" t="s">
        <v>7</v>
      </c>
      <c r="C37" s="89">
        <v>0</v>
      </c>
    </row>
    <row r="38" spans="1:8" ht="18.75" customHeight="1">
      <c r="A38" s="69" t="s">
        <v>43</v>
      </c>
      <c r="B38" s="59" t="s">
        <v>2</v>
      </c>
      <c r="C38" s="88" t="s">
        <v>3</v>
      </c>
      <c r="D38" s="88" t="s">
        <v>44</v>
      </c>
    </row>
    <row r="39" spans="1:8" ht="18.75" customHeight="1">
      <c r="A39" s="70" t="s">
        <v>45</v>
      </c>
      <c r="B39" s="60" t="s">
        <v>17</v>
      </c>
      <c r="C39" s="89">
        <f>0+'Drop Placement Worksheet'!J182</f>
        <v>0</v>
      </c>
      <c r="D39" s="90">
        <f>C39*1.08</f>
        <v>0</v>
      </c>
    </row>
    <row r="40" spans="1:8" ht="18.75" customHeight="1">
      <c r="A40" s="70" t="s">
        <v>46</v>
      </c>
      <c r="B40" s="60" t="s">
        <v>17</v>
      </c>
      <c r="C40" s="89">
        <v>0</v>
      </c>
      <c r="D40" s="90">
        <f t="shared" ref="D40:D44" si="1">C40*1.08</f>
        <v>0</v>
      </c>
      <c r="H40" s="73"/>
    </row>
    <row r="41" spans="1:8" ht="18.75" customHeight="1">
      <c r="A41" s="70" t="s">
        <v>47</v>
      </c>
      <c r="B41" s="60" t="s">
        <v>17</v>
      </c>
      <c r="C41" s="89">
        <v>0</v>
      </c>
      <c r="D41" s="90">
        <f t="shared" si="1"/>
        <v>0</v>
      </c>
    </row>
    <row r="42" spans="1:8" ht="18.75" customHeight="1">
      <c r="A42" s="70" t="s">
        <v>48</v>
      </c>
      <c r="B42" s="60" t="s">
        <v>17</v>
      </c>
      <c r="C42" s="89">
        <v>0</v>
      </c>
      <c r="D42" s="90">
        <f t="shared" si="1"/>
        <v>0</v>
      </c>
    </row>
    <row r="43" spans="1:8" ht="18.75" customHeight="1">
      <c r="A43" s="70" t="s">
        <v>49</v>
      </c>
      <c r="B43" s="60" t="s">
        <v>17</v>
      </c>
      <c r="C43" s="89">
        <v>0</v>
      </c>
      <c r="D43" s="90">
        <f t="shared" si="1"/>
        <v>0</v>
      </c>
    </row>
    <row r="44" spans="1:8" ht="18.75" customHeight="1">
      <c r="A44" s="70" t="s">
        <v>50</v>
      </c>
      <c r="B44" s="60" t="s">
        <v>17</v>
      </c>
      <c r="C44" s="89">
        <v>0</v>
      </c>
      <c r="D44" s="90">
        <f t="shared" si="1"/>
        <v>0</v>
      </c>
    </row>
    <row r="45" spans="1:8" ht="23.25">
      <c r="A45" s="64" t="s">
        <v>51</v>
      </c>
      <c r="B45" s="56" t="s">
        <v>2</v>
      </c>
      <c r="C45" s="80" t="s">
        <v>3</v>
      </c>
    </row>
    <row r="46" spans="1:8" ht="21.75" customHeight="1">
      <c r="A46" s="71" t="s">
        <v>52</v>
      </c>
      <c r="B46" s="33" t="s">
        <v>2</v>
      </c>
      <c r="C46" s="91" t="s">
        <v>3</v>
      </c>
    </row>
    <row r="47" spans="1:8" ht="21.75" customHeight="1">
      <c r="A47" s="72" t="s">
        <v>53</v>
      </c>
      <c r="B47" s="61" t="s">
        <v>17</v>
      </c>
      <c r="C47" s="92">
        <f>'Drop Placement Worksheet'!C182</f>
        <v>0</v>
      </c>
      <c r="D47" s="83"/>
    </row>
    <row r="48" spans="1:8" ht="21.75" customHeight="1">
      <c r="A48" s="71" t="s">
        <v>54</v>
      </c>
      <c r="B48" s="33" t="s">
        <v>2</v>
      </c>
      <c r="C48" s="85" t="s">
        <v>3</v>
      </c>
      <c r="D48" s="83"/>
    </row>
    <row r="49" spans="1:4" ht="21.75" customHeight="1">
      <c r="A49" s="72" t="s">
        <v>45</v>
      </c>
      <c r="B49" s="61" t="s">
        <v>17</v>
      </c>
      <c r="C49" s="92">
        <f>'Drop Placement Worksheet'!C182</f>
        <v>0</v>
      </c>
      <c r="D49" s="92">
        <f>C49*1.08</f>
        <v>0</v>
      </c>
    </row>
    <row r="50" spans="1:4" ht="23.25">
      <c r="A50" s="64" t="s">
        <v>55</v>
      </c>
      <c r="B50" s="56" t="s">
        <v>2</v>
      </c>
      <c r="C50" s="80" t="s">
        <v>3</v>
      </c>
    </row>
    <row r="51" spans="1:4" ht="15.75">
      <c r="A51" s="67" t="s">
        <v>56</v>
      </c>
      <c r="B51" s="33" t="s">
        <v>2</v>
      </c>
      <c r="C51" s="91" t="s">
        <v>3</v>
      </c>
    </row>
    <row r="52" spans="1:4">
      <c r="A52" s="68" t="s">
        <v>57</v>
      </c>
      <c r="B52" s="58" t="s">
        <v>7</v>
      </c>
      <c r="C52" s="143">
        <v>0</v>
      </c>
    </row>
    <row r="53" spans="1:4" ht="23.25">
      <c r="A53" s="64" t="s">
        <v>58</v>
      </c>
      <c r="B53" s="56" t="s">
        <v>2</v>
      </c>
      <c r="C53" s="80" t="s">
        <v>3</v>
      </c>
    </row>
    <row r="54" spans="1:4" ht="15.75">
      <c r="A54" s="67" t="s">
        <v>59</v>
      </c>
      <c r="B54" s="33" t="s">
        <v>2</v>
      </c>
      <c r="C54" s="91" t="s">
        <v>3</v>
      </c>
    </row>
    <row r="55" spans="1:4">
      <c r="A55" s="68" t="s">
        <v>60</v>
      </c>
      <c r="B55" s="58" t="s">
        <v>17</v>
      </c>
      <c r="C55" s="143">
        <v>0</v>
      </c>
    </row>
    <row r="56" spans="1:4">
      <c r="A56" s="68" t="s">
        <v>61</v>
      </c>
      <c r="B56" s="58" t="s">
        <v>17</v>
      </c>
      <c r="C56" s="143">
        <v>0</v>
      </c>
    </row>
    <row r="57" spans="1:4" ht="15.75">
      <c r="A57" s="67" t="s">
        <v>32</v>
      </c>
      <c r="B57" s="33" t="s">
        <v>2</v>
      </c>
      <c r="C57" s="91" t="s">
        <v>3</v>
      </c>
    </row>
    <row r="58" spans="1:4">
      <c r="A58" s="68" t="s">
        <v>62</v>
      </c>
      <c r="B58" s="58" t="s">
        <v>7</v>
      </c>
      <c r="C58" s="143">
        <v>0</v>
      </c>
    </row>
    <row r="59" spans="1:4">
      <c r="A59" s="68" t="s">
        <v>63</v>
      </c>
      <c r="B59" s="58" t="s">
        <v>7</v>
      </c>
      <c r="C59" s="143">
        <v>0</v>
      </c>
    </row>
    <row r="60" spans="1:4">
      <c r="A60" s="68" t="s">
        <v>64</v>
      </c>
      <c r="B60" s="58" t="s">
        <v>7</v>
      </c>
      <c r="C60" s="143">
        <v>0</v>
      </c>
    </row>
    <row r="61" spans="1:4">
      <c r="A61" s="68" t="s">
        <v>65</v>
      </c>
      <c r="B61" s="58" t="s">
        <v>7</v>
      </c>
      <c r="C61" s="143">
        <v>0</v>
      </c>
    </row>
    <row r="62" spans="1:4">
      <c r="A62" s="68" t="s">
        <v>66</v>
      </c>
      <c r="B62" s="58" t="s">
        <v>7</v>
      </c>
      <c r="C62" s="143">
        <v>0</v>
      </c>
    </row>
    <row r="63" spans="1:4">
      <c r="A63" s="68" t="s">
        <v>67</v>
      </c>
      <c r="B63" s="58" t="s">
        <v>7</v>
      </c>
      <c r="C63" s="143">
        <v>0</v>
      </c>
    </row>
    <row r="64" spans="1:4" ht="15.75">
      <c r="A64" s="67" t="s">
        <v>43</v>
      </c>
      <c r="B64" s="33" t="s">
        <v>2</v>
      </c>
      <c r="C64" s="91" t="s">
        <v>3</v>
      </c>
    </row>
    <row r="65" spans="1:6">
      <c r="A65" s="68" t="s">
        <v>68</v>
      </c>
      <c r="B65" s="58" t="s">
        <v>17</v>
      </c>
      <c r="C65" s="143">
        <v>0</v>
      </c>
    </row>
    <row r="66" spans="1:6">
      <c r="A66" s="68" t="s">
        <v>69</v>
      </c>
      <c r="B66" s="58" t="s">
        <v>17</v>
      </c>
      <c r="C66" s="143">
        <v>0</v>
      </c>
    </row>
    <row r="67" spans="1:6" ht="15.75">
      <c r="A67" s="67" t="s">
        <v>70</v>
      </c>
      <c r="B67" s="33" t="s">
        <v>2</v>
      </c>
      <c r="C67" s="91" t="s">
        <v>3</v>
      </c>
    </row>
    <row r="68" spans="1:6">
      <c r="A68" s="68" t="s">
        <v>71</v>
      </c>
      <c r="B68" s="58" t="s">
        <v>17</v>
      </c>
      <c r="C68" s="143">
        <v>0</v>
      </c>
      <c r="D68" s="53"/>
      <c r="E68" s="34"/>
      <c r="F68" s="93"/>
    </row>
    <row r="69" spans="1:6">
      <c r="A69" s="68" t="s">
        <v>72</v>
      </c>
      <c r="B69" s="58" t="s">
        <v>17</v>
      </c>
      <c r="C69" s="143">
        <v>0</v>
      </c>
    </row>
    <row r="70" spans="1:6">
      <c r="A70" s="68" t="s">
        <v>73</v>
      </c>
      <c r="B70" s="58" t="s">
        <v>17</v>
      </c>
      <c r="C70" s="143">
        <v>0</v>
      </c>
    </row>
    <row r="71" spans="1:6" ht="15.75">
      <c r="A71" s="67" t="s">
        <v>32</v>
      </c>
      <c r="B71" s="33" t="s">
        <v>2</v>
      </c>
      <c r="C71" s="91" t="s">
        <v>3</v>
      </c>
    </row>
    <row r="72" spans="1:6">
      <c r="A72" s="68" t="s">
        <v>74</v>
      </c>
      <c r="B72" s="58" t="s">
        <v>7</v>
      </c>
      <c r="C72" s="143"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A134-681C-4F58-A7CC-89607A324470}">
  <sheetPr codeName="Sheet2"/>
  <dimension ref="A1:J53"/>
  <sheetViews>
    <sheetView workbookViewId="0"/>
  </sheetViews>
  <sheetFormatPr defaultColWidth="9.140625" defaultRowHeight="15"/>
  <cols>
    <col min="1" max="1" width="4.7109375" style="23" customWidth="1"/>
    <col min="2" max="2" width="18.28515625" style="18" customWidth="1"/>
    <col min="3" max="3" width="75" style="18" bestFit="1" customWidth="1"/>
    <col min="4" max="4" width="13.7109375" style="18" customWidth="1"/>
    <col min="5" max="6" width="9.140625" style="18" customWidth="1"/>
    <col min="7" max="7" width="9.140625" style="18"/>
    <col min="8" max="8" width="16.28515625" style="18" bestFit="1" customWidth="1"/>
    <col min="9" max="9" width="11.5703125" style="18" customWidth="1"/>
    <col min="10" max="16384" width="9.140625" style="18"/>
  </cols>
  <sheetData>
    <row r="1" spans="1:10" ht="31.5">
      <c r="A1" s="12"/>
      <c r="B1" s="13" t="s">
        <v>75</v>
      </c>
      <c r="C1" s="12" t="s">
        <v>76</v>
      </c>
      <c r="D1" s="12" t="s">
        <v>77</v>
      </c>
      <c r="E1" s="12" t="s">
        <v>78</v>
      </c>
      <c r="F1" s="14" t="s">
        <v>79</v>
      </c>
      <c r="G1" s="15" t="s">
        <v>80</v>
      </c>
      <c r="H1" s="15" t="s">
        <v>81</v>
      </c>
      <c r="I1" s="12" t="s">
        <v>82</v>
      </c>
    </row>
    <row r="2" spans="1:10">
      <c r="A2" s="95" t="s">
        <v>83</v>
      </c>
      <c r="B2" s="96"/>
      <c r="C2" s="96"/>
      <c r="D2" s="96"/>
      <c r="E2" s="96"/>
      <c r="F2" s="96"/>
      <c r="G2" s="96"/>
      <c r="H2" s="96"/>
      <c r="I2" s="50"/>
    </row>
    <row r="3" spans="1:10">
      <c r="A3" s="97"/>
      <c r="B3" s="98" t="s">
        <v>84</v>
      </c>
      <c r="C3" s="98" t="s">
        <v>85</v>
      </c>
      <c r="D3" s="99">
        <v>1</v>
      </c>
      <c r="E3" s="100" t="s">
        <v>7</v>
      </c>
      <c r="F3" s="101">
        <f>'BoQ from Engineer'!C28</f>
        <v>0</v>
      </c>
      <c r="G3" s="102">
        <v>625</v>
      </c>
      <c r="H3" s="102">
        <f>G3*F3</f>
        <v>0</v>
      </c>
      <c r="I3" s="103" t="e">
        <f t="shared" ref="I3:I14" si="0">H3/$H$51</f>
        <v>#DIV/0!</v>
      </c>
    </row>
    <row r="4" spans="1:10" s="4" customFormat="1" ht="15" customHeight="1">
      <c r="A4" s="104"/>
      <c r="B4" s="105" t="s">
        <v>86</v>
      </c>
      <c r="C4" s="105" t="s">
        <v>87</v>
      </c>
      <c r="D4" s="7">
        <v>1</v>
      </c>
      <c r="E4" s="106" t="s">
        <v>7</v>
      </c>
      <c r="F4" s="49">
        <f>F3</f>
        <v>0</v>
      </c>
      <c r="G4" s="48">
        <v>150</v>
      </c>
      <c r="H4" s="48">
        <f>G4*F4</f>
        <v>0</v>
      </c>
      <c r="I4" s="103" t="e">
        <f t="shared" si="0"/>
        <v>#DIV/0!</v>
      </c>
    </row>
    <row r="5" spans="1:10">
      <c r="A5" s="97"/>
      <c r="B5" s="98" t="s">
        <v>88</v>
      </c>
      <c r="C5" s="98" t="s">
        <v>89</v>
      </c>
      <c r="D5" s="99">
        <v>1</v>
      </c>
      <c r="E5" s="100" t="s">
        <v>7</v>
      </c>
      <c r="F5" s="101">
        <f>'BoQ from Engineer'!C29</f>
        <v>0</v>
      </c>
      <c r="G5" s="102">
        <v>825</v>
      </c>
      <c r="H5" s="102">
        <f>G5*F5</f>
        <v>0</v>
      </c>
      <c r="I5" s="103" t="e">
        <f t="shared" si="0"/>
        <v>#DIV/0!</v>
      </c>
    </row>
    <row r="6" spans="1:10">
      <c r="A6" s="97"/>
      <c r="B6" s="98" t="s">
        <v>90</v>
      </c>
      <c r="C6" s="98" t="s">
        <v>91</v>
      </c>
      <c r="D6" s="99">
        <v>1</v>
      </c>
      <c r="E6" s="100" t="s">
        <v>7</v>
      </c>
      <c r="F6" s="101">
        <f>F5</f>
        <v>0</v>
      </c>
      <c r="G6" s="102">
        <v>175</v>
      </c>
      <c r="H6" s="102">
        <f>G6*F6</f>
        <v>0</v>
      </c>
      <c r="I6" s="103" t="e">
        <f t="shared" si="0"/>
        <v>#DIV/0!</v>
      </c>
    </row>
    <row r="7" spans="1:10" s="5" customFormat="1" ht="15" customHeight="1">
      <c r="A7" s="104"/>
      <c r="B7" s="105" t="s">
        <v>92</v>
      </c>
      <c r="C7" s="105" t="s">
        <v>93</v>
      </c>
      <c r="D7" s="7">
        <v>1</v>
      </c>
      <c r="E7" s="106" t="s">
        <v>7</v>
      </c>
      <c r="F7" s="49">
        <f>F3+F5</f>
        <v>0</v>
      </c>
      <c r="G7" s="48">
        <v>245</v>
      </c>
      <c r="H7" s="48">
        <f t="shared" ref="H7:H9" si="1">G7*F7</f>
        <v>0</v>
      </c>
      <c r="I7" s="103" t="e">
        <f t="shared" si="0"/>
        <v>#DIV/0!</v>
      </c>
      <c r="J7" s="4"/>
    </row>
    <row r="8" spans="1:10" s="5" customFormat="1" ht="15" customHeight="1">
      <c r="A8" s="104"/>
      <c r="B8" s="105" t="s">
        <v>94</v>
      </c>
      <c r="C8" s="105" t="s">
        <v>95</v>
      </c>
      <c r="D8" s="7">
        <v>1</v>
      </c>
      <c r="E8" s="106" t="s">
        <v>7</v>
      </c>
      <c r="F8" s="49">
        <f>F3+F5</f>
        <v>0</v>
      </c>
      <c r="G8" s="48">
        <v>19.5</v>
      </c>
      <c r="H8" s="48">
        <f t="shared" si="1"/>
        <v>0</v>
      </c>
      <c r="I8" s="103" t="e">
        <f t="shared" si="0"/>
        <v>#DIV/0!</v>
      </c>
      <c r="J8" s="4"/>
    </row>
    <row r="9" spans="1:10">
      <c r="A9" s="97"/>
      <c r="B9" s="105" t="s">
        <v>96</v>
      </c>
      <c r="C9" s="98" t="s">
        <v>97</v>
      </c>
      <c r="D9" s="99">
        <v>1</v>
      </c>
      <c r="E9" s="100" t="s">
        <v>7</v>
      </c>
      <c r="F9" s="49">
        <f>'BoQ from Engineer'!C30</f>
        <v>0</v>
      </c>
      <c r="G9" s="102">
        <v>1785</v>
      </c>
      <c r="H9" s="102">
        <f t="shared" si="1"/>
        <v>0</v>
      </c>
      <c r="I9" s="103" t="e">
        <f t="shared" si="0"/>
        <v>#DIV/0!</v>
      </c>
    </row>
    <row r="10" spans="1:10">
      <c r="A10" s="97"/>
      <c r="B10" s="98" t="s">
        <v>98</v>
      </c>
      <c r="C10" s="98" t="s">
        <v>99</v>
      </c>
      <c r="D10" s="99">
        <v>1</v>
      </c>
      <c r="E10" s="100" t="s">
        <v>7</v>
      </c>
      <c r="F10" s="101">
        <f>'BoQ from Engineer'!C31</f>
        <v>0</v>
      </c>
      <c r="G10" s="102">
        <v>1500</v>
      </c>
      <c r="H10" s="102">
        <f t="shared" ref="H10:H11" si="2">G10*F10</f>
        <v>0</v>
      </c>
      <c r="I10" s="103" t="e">
        <f t="shared" si="0"/>
        <v>#DIV/0!</v>
      </c>
    </row>
    <row r="11" spans="1:10">
      <c r="A11" s="97"/>
      <c r="B11" s="98" t="s">
        <v>100</v>
      </c>
      <c r="C11" s="98" t="s">
        <v>101</v>
      </c>
      <c r="D11" s="99">
        <v>1</v>
      </c>
      <c r="E11" s="100" t="s">
        <v>7</v>
      </c>
      <c r="F11" s="101">
        <f>F10*12</f>
        <v>0</v>
      </c>
      <c r="G11" s="102">
        <v>15</v>
      </c>
      <c r="H11" s="102">
        <f t="shared" si="2"/>
        <v>0</v>
      </c>
      <c r="I11" s="103" t="e">
        <f t="shared" si="0"/>
        <v>#DIV/0!</v>
      </c>
    </row>
    <row r="12" spans="1:10">
      <c r="A12" s="97"/>
      <c r="B12" s="98" t="s">
        <v>102</v>
      </c>
      <c r="C12" s="98" t="s">
        <v>103</v>
      </c>
      <c r="D12" s="99">
        <v>1</v>
      </c>
      <c r="E12" s="100" t="s">
        <v>7</v>
      </c>
      <c r="F12" s="101">
        <f>F3*50+F5*100+F10*300</f>
        <v>0</v>
      </c>
      <c r="G12" s="102">
        <v>1.59</v>
      </c>
      <c r="H12" s="102">
        <f>G12*F12</f>
        <v>0</v>
      </c>
      <c r="I12" s="103" t="e">
        <f t="shared" si="0"/>
        <v>#DIV/0!</v>
      </c>
    </row>
    <row r="13" spans="1:10" s="4" customFormat="1" ht="15" customHeight="1">
      <c r="A13" s="97"/>
      <c r="B13" s="98" t="s">
        <v>104</v>
      </c>
      <c r="C13" s="98" t="s">
        <v>105</v>
      </c>
      <c r="D13" s="100">
        <v>1</v>
      </c>
      <c r="E13" s="100" t="s">
        <v>7</v>
      </c>
      <c r="F13" s="101">
        <f>'BoQ from Engineer'!C32</f>
        <v>0</v>
      </c>
      <c r="G13" s="102">
        <v>405</v>
      </c>
      <c r="H13" s="102">
        <f t="shared" ref="H13" si="3">G13*F13</f>
        <v>0</v>
      </c>
      <c r="I13" s="103" t="e">
        <f t="shared" si="0"/>
        <v>#DIV/0!</v>
      </c>
    </row>
    <row r="14" spans="1:10" s="4" customFormat="1" ht="15" customHeight="1">
      <c r="A14" s="97"/>
      <c r="B14" s="98" t="s">
        <v>106</v>
      </c>
      <c r="C14" s="98" t="s">
        <v>107</v>
      </c>
      <c r="D14" s="100">
        <v>1</v>
      </c>
      <c r="E14" s="100" t="s">
        <v>7</v>
      </c>
      <c r="F14" s="101">
        <f>'BoQ from Engineer'!C33</f>
        <v>0</v>
      </c>
      <c r="G14" s="102">
        <v>402.17</v>
      </c>
      <c r="H14" s="102">
        <f t="shared" ref="H14" si="4">G14*F14</f>
        <v>0</v>
      </c>
      <c r="I14" s="103" t="e">
        <f t="shared" si="0"/>
        <v>#DIV/0!</v>
      </c>
    </row>
    <row r="15" spans="1:10">
      <c r="A15" s="95" t="s">
        <v>108</v>
      </c>
      <c r="B15" s="96"/>
      <c r="C15" s="96"/>
      <c r="D15" s="96"/>
      <c r="E15" s="96"/>
      <c r="F15" s="96"/>
      <c r="G15" s="96"/>
      <c r="H15" s="96"/>
      <c r="I15" s="96"/>
    </row>
    <row r="16" spans="1:10">
      <c r="A16" s="97"/>
      <c r="B16" s="98" t="s">
        <v>109</v>
      </c>
      <c r="C16" s="98" t="s">
        <v>110</v>
      </c>
      <c r="D16" s="99" t="s">
        <v>111</v>
      </c>
      <c r="E16" s="100" t="s">
        <v>17</v>
      </c>
      <c r="F16" s="101">
        <f>IF('BoQ from Engineer'!C10&gt;0,'BoQ from Engineer'!D39+'BoQ from Engineer'!D49,'BoQ from Engineer'!D39)</f>
        <v>0</v>
      </c>
      <c r="G16" s="102">
        <v>0.23039939024390246</v>
      </c>
      <c r="H16" s="102">
        <f t="shared" ref="H16" si="5">G16*F16</f>
        <v>0</v>
      </c>
      <c r="I16" s="103" t="e">
        <f t="shared" ref="I16:I21" si="6">H16/$H$51</f>
        <v>#DIV/0!</v>
      </c>
    </row>
    <row r="17" spans="1:9">
      <c r="A17" s="97"/>
      <c r="B17" s="98" t="s">
        <v>112</v>
      </c>
      <c r="C17" s="98" t="s">
        <v>113</v>
      </c>
      <c r="D17" s="99" t="s">
        <v>111</v>
      </c>
      <c r="E17" s="100" t="s">
        <v>17</v>
      </c>
      <c r="F17" s="101">
        <f>'BoQ from Engineer'!D40</f>
        <v>0</v>
      </c>
      <c r="G17" s="102">
        <v>0.61737804878048785</v>
      </c>
      <c r="H17" s="102">
        <f t="shared" ref="H17:H21" si="7">G17*F17</f>
        <v>0</v>
      </c>
      <c r="I17" s="103" t="e">
        <f t="shared" si="6"/>
        <v>#DIV/0!</v>
      </c>
    </row>
    <row r="18" spans="1:9">
      <c r="A18" s="97"/>
      <c r="B18" s="98" t="s">
        <v>114</v>
      </c>
      <c r="C18" s="98" t="s">
        <v>115</v>
      </c>
      <c r="D18" s="99" t="s">
        <v>111</v>
      </c>
      <c r="E18" s="100" t="s">
        <v>17</v>
      </c>
      <c r="F18" s="101">
        <f>'BoQ from Engineer'!D41</f>
        <v>0</v>
      </c>
      <c r="G18" s="102">
        <v>0.77743902439024393</v>
      </c>
      <c r="H18" s="102">
        <f t="shared" si="7"/>
        <v>0</v>
      </c>
      <c r="I18" s="103" t="e">
        <f t="shared" si="6"/>
        <v>#DIV/0!</v>
      </c>
    </row>
    <row r="19" spans="1:9">
      <c r="A19" s="97"/>
      <c r="B19" s="98" t="s">
        <v>116</v>
      </c>
      <c r="C19" s="98" t="s">
        <v>117</v>
      </c>
      <c r="D19" s="99" t="s">
        <v>111</v>
      </c>
      <c r="E19" s="100" t="s">
        <v>17</v>
      </c>
      <c r="F19" s="101">
        <f>'BoQ from Engineer'!D42</f>
        <v>0</v>
      </c>
      <c r="G19" s="102">
        <v>1.0213414634146341</v>
      </c>
      <c r="H19" s="102">
        <f t="shared" si="7"/>
        <v>0</v>
      </c>
      <c r="I19" s="103" t="e">
        <f t="shared" si="6"/>
        <v>#DIV/0!</v>
      </c>
    </row>
    <row r="20" spans="1:9">
      <c r="A20" s="97"/>
      <c r="B20" s="98" t="s">
        <v>118</v>
      </c>
      <c r="C20" s="98" t="s">
        <v>119</v>
      </c>
      <c r="D20" s="99" t="s">
        <v>111</v>
      </c>
      <c r="E20" s="100" t="s">
        <v>17</v>
      </c>
      <c r="F20" s="101">
        <f>'BoQ from Engineer'!D43</f>
        <v>0</v>
      </c>
      <c r="G20" s="102">
        <v>1.1495640243902439</v>
      </c>
      <c r="H20" s="102">
        <f t="shared" si="7"/>
        <v>0</v>
      </c>
      <c r="I20" s="103" t="e">
        <f t="shared" si="6"/>
        <v>#DIV/0!</v>
      </c>
    </row>
    <row r="21" spans="1:9">
      <c r="A21" s="97"/>
      <c r="B21" s="98" t="s">
        <v>120</v>
      </c>
      <c r="C21" s="98" t="s">
        <v>121</v>
      </c>
      <c r="D21" s="99" t="s">
        <v>122</v>
      </c>
      <c r="E21" s="100" t="s">
        <v>17</v>
      </c>
      <c r="F21" s="101">
        <f>'BoQ from Engineer'!D44</f>
        <v>0</v>
      </c>
      <c r="G21" s="102">
        <v>1.9207317073170731</v>
      </c>
      <c r="H21" s="102">
        <f t="shared" si="7"/>
        <v>0</v>
      </c>
      <c r="I21" s="103" t="e">
        <f t="shared" si="6"/>
        <v>#DIV/0!</v>
      </c>
    </row>
    <row r="22" spans="1:9" ht="15" customHeight="1">
      <c r="A22" s="107" t="s">
        <v>123</v>
      </c>
      <c r="B22" s="50"/>
      <c r="C22" s="50"/>
      <c r="D22" s="108"/>
      <c r="E22" s="109"/>
      <c r="F22" s="109"/>
      <c r="G22" s="109"/>
      <c r="H22" s="109"/>
      <c r="I22" s="109"/>
    </row>
    <row r="23" spans="1:9">
      <c r="A23" s="97"/>
      <c r="B23" s="98" t="s">
        <v>124</v>
      </c>
      <c r="C23" s="98" t="s">
        <v>125</v>
      </c>
      <c r="D23" s="99">
        <v>1</v>
      </c>
      <c r="E23" s="100" t="s">
        <v>7</v>
      </c>
      <c r="F23" s="101">
        <f>'BoQ from Engineer'!C34</f>
        <v>0</v>
      </c>
      <c r="G23" s="102">
        <v>81.400000000000006</v>
      </c>
      <c r="H23" s="102">
        <f>G23*F23</f>
        <v>0</v>
      </c>
      <c r="I23" s="103" t="e">
        <f>H23/$H$51</f>
        <v>#DIV/0!</v>
      </c>
    </row>
    <row r="24" spans="1:9">
      <c r="A24" s="97"/>
      <c r="B24" s="98" t="s">
        <v>126</v>
      </c>
      <c r="C24" s="98" t="s">
        <v>127</v>
      </c>
      <c r="D24" s="99">
        <v>1</v>
      </c>
      <c r="E24" s="100" t="s">
        <v>7</v>
      </c>
      <c r="F24" s="101">
        <f>'BoQ from Engineer'!C35</f>
        <v>0</v>
      </c>
      <c r="G24" s="102">
        <v>115</v>
      </c>
      <c r="H24" s="102">
        <f>G24*F24</f>
        <v>0</v>
      </c>
      <c r="I24" s="103" t="e">
        <f>H24/$H$51</f>
        <v>#DIV/0!</v>
      </c>
    </row>
    <row r="25" spans="1:9">
      <c r="A25" s="97"/>
      <c r="B25" s="98" t="s">
        <v>128</v>
      </c>
      <c r="C25" s="98" t="s">
        <v>129</v>
      </c>
      <c r="D25" s="99">
        <v>10</v>
      </c>
      <c r="E25" s="100" t="s">
        <v>7</v>
      </c>
      <c r="F25" s="101">
        <f>ROUNDUP((F23+F24)*0.1,0)</f>
        <v>0</v>
      </c>
      <c r="G25" s="102">
        <v>29.9</v>
      </c>
      <c r="H25" s="102">
        <f>G25*F25</f>
        <v>0</v>
      </c>
      <c r="I25" s="103" t="e">
        <f>H25/$H$51</f>
        <v>#DIV/0!</v>
      </c>
    </row>
    <row r="26" spans="1:9" customFormat="1">
      <c r="A26" s="110"/>
      <c r="B26" s="111" t="s">
        <v>130</v>
      </c>
      <c r="C26" s="111" t="s">
        <v>131</v>
      </c>
      <c r="D26" s="7">
        <v>1</v>
      </c>
      <c r="E26" s="106" t="s">
        <v>7</v>
      </c>
      <c r="F26" s="49">
        <f>F23+F24</f>
        <v>0</v>
      </c>
      <c r="G26" s="48">
        <v>8</v>
      </c>
      <c r="H26" s="48">
        <f>G26*F26</f>
        <v>0</v>
      </c>
      <c r="I26" s="103" t="e">
        <f>H26/$H$51</f>
        <v>#DIV/0!</v>
      </c>
    </row>
    <row r="27" spans="1:9">
      <c r="A27" s="97"/>
      <c r="B27" s="98" t="s">
        <v>132</v>
      </c>
      <c r="C27" s="98" t="s">
        <v>133</v>
      </c>
      <c r="D27" s="99">
        <v>1</v>
      </c>
      <c r="E27" s="100" t="s">
        <v>7</v>
      </c>
      <c r="F27" s="101">
        <f>'BoQ from Engineer'!C36</f>
        <v>0</v>
      </c>
      <c r="G27" s="102">
        <v>9.9499999999999993</v>
      </c>
      <c r="H27" s="102">
        <f>G27*F27</f>
        <v>0</v>
      </c>
      <c r="I27" s="103" t="e">
        <f>H27/$H$51</f>
        <v>#DIV/0!</v>
      </c>
    </row>
    <row r="28" spans="1:9">
      <c r="A28" s="95" t="s">
        <v>134</v>
      </c>
      <c r="B28" s="96"/>
      <c r="C28" s="96"/>
      <c r="D28" s="96"/>
      <c r="E28" s="96"/>
      <c r="F28" s="96"/>
      <c r="G28" s="96"/>
      <c r="H28" s="96"/>
      <c r="I28" s="96"/>
    </row>
    <row r="29" spans="1:9">
      <c r="A29" s="97"/>
      <c r="B29" s="98" t="s">
        <v>135</v>
      </c>
      <c r="C29" s="98" t="s">
        <v>136</v>
      </c>
      <c r="D29" s="99" t="s">
        <v>137</v>
      </c>
      <c r="E29" s="100" t="s">
        <v>17</v>
      </c>
      <c r="F29" s="101">
        <f>'BoQ from Engineer'!D23</f>
        <v>0</v>
      </c>
      <c r="G29" s="102">
        <v>5.9602115999999997E-2</v>
      </c>
      <c r="H29" s="102">
        <f t="shared" ref="H29:H30" si="8">G29*F29</f>
        <v>0</v>
      </c>
      <c r="I29" s="103" t="e">
        <f>H29/$H$51</f>
        <v>#DIV/0!</v>
      </c>
    </row>
    <row r="30" spans="1:9">
      <c r="A30" s="97"/>
      <c r="B30" s="98" t="s">
        <v>138</v>
      </c>
      <c r="C30" s="98" t="s">
        <v>139</v>
      </c>
      <c r="D30" s="99" t="s">
        <v>140</v>
      </c>
      <c r="E30" s="100" t="s">
        <v>17</v>
      </c>
      <c r="F30" s="101">
        <f>'BoQ from Engineer'!D24</f>
        <v>0</v>
      </c>
      <c r="G30" s="102">
        <v>8.0816195999999993E-2</v>
      </c>
      <c r="H30" s="102">
        <f t="shared" si="8"/>
        <v>0</v>
      </c>
      <c r="I30" s="103" t="e">
        <f>H30/$H$51</f>
        <v>#DIV/0!</v>
      </c>
    </row>
    <row r="31" spans="1:9">
      <c r="A31" s="97"/>
      <c r="B31" s="98" t="s">
        <v>141</v>
      </c>
      <c r="C31" s="98" t="s">
        <v>142</v>
      </c>
      <c r="D31" s="99" t="s">
        <v>143</v>
      </c>
      <c r="E31" s="100" t="s">
        <v>17</v>
      </c>
      <c r="F31" s="101">
        <f>'BoQ from Engineer'!D25</f>
        <v>0</v>
      </c>
      <c r="G31" s="102">
        <v>0.151638</v>
      </c>
      <c r="H31" s="102">
        <f t="shared" ref="H31:H33" si="9">G31*F31</f>
        <v>0</v>
      </c>
      <c r="I31" s="103" t="e">
        <f>H31/$H$51</f>
        <v>#DIV/0!</v>
      </c>
    </row>
    <row r="32" spans="1:9">
      <c r="A32" s="97"/>
      <c r="B32" s="98" t="s">
        <v>144</v>
      </c>
      <c r="C32" s="98" t="s">
        <v>145</v>
      </c>
      <c r="D32" s="99" t="s">
        <v>143</v>
      </c>
      <c r="E32" s="100" t="s">
        <v>17</v>
      </c>
      <c r="F32" s="101">
        <f>'BoQ from Engineer'!D26</f>
        <v>0</v>
      </c>
      <c r="G32" s="102">
        <v>0.14238732000000001</v>
      </c>
      <c r="H32" s="102">
        <f t="shared" si="9"/>
        <v>0</v>
      </c>
      <c r="I32" s="103" t="e">
        <f>H32/$H$51</f>
        <v>#DIV/0!</v>
      </c>
    </row>
    <row r="33" spans="1:9">
      <c r="A33" s="97"/>
      <c r="B33" s="98" t="s">
        <v>146</v>
      </c>
      <c r="C33" s="98" t="s">
        <v>147</v>
      </c>
      <c r="D33" s="99">
        <v>10</v>
      </c>
      <c r="E33" s="100" t="s">
        <v>7</v>
      </c>
      <c r="F33" s="101">
        <f>ROUNDUP((F3*2+F5*3+F9*3+F10*9)/10,0)*10</f>
        <v>0</v>
      </c>
      <c r="G33" s="102">
        <v>3.05</v>
      </c>
      <c r="H33" s="102">
        <f t="shared" si="9"/>
        <v>0</v>
      </c>
      <c r="I33" s="103" t="e">
        <f>H33/$H$51</f>
        <v>#DIV/0!</v>
      </c>
    </row>
    <row r="34" spans="1:9">
      <c r="A34" s="95" t="s">
        <v>148</v>
      </c>
      <c r="B34" s="96"/>
      <c r="C34" s="96"/>
      <c r="D34" s="96"/>
      <c r="E34" s="96"/>
      <c r="F34" s="96"/>
      <c r="G34" s="96"/>
      <c r="H34" s="96"/>
      <c r="I34" s="96"/>
    </row>
    <row r="35" spans="1:9" customFormat="1">
      <c r="A35" s="110"/>
      <c r="B35" s="111" t="s">
        <v>149</v>
      </c>
      <c r="C35" s="111" t="s">
        <v>150</v>
      </c>
      <c r="D35" s="7">
        <v>1</v>
      </c>
      <c r="E35" s="106" t="s">
        <v>7</v>
      </c>
      <c r="F35" s="49">
        <f>'BoQ from Engineer'!C37</f>
        <v>0</v>
      </c>
      <c r="G35" s="48">
        <v>13.92</v>
      </c>
      <c r="H35" s="48">
        <f t="shared" ref="H35:H36" si="10">G35*F35</f>
        <v>0</v>
      </c>
      <c r="I35" s="103" t="e">
        <f>H35/$H$51</f>
        <v>#DIV/0!</v>
      </c>
    </row>
    <row r="36" spans="1:9" customFormat="1">
      <c r="A36" s="110"/>
      <c r="B36" s="111" t="s">
        <v>151</v>
      </c>
      <c r="C36" s="111" t="s">
        <v>152</v>
      </c>
      <c r="D36" s="7">
        <v>1</v>
      </c>
      <c r="E36" s="106" t="s">
        <v>7</v>
      </c>
      <c r="F36" s="49">
        <f>F35</f>
        <v>0</v>
      </c>
      <c r="G36" s="48">
        <v>2.17</v>
      </c>
      <c r="H36" s="48">
        <f t="shared" si="10"/>
        <v>0</v>
      </c>
      <c r="I36" s="103" t="e">
        <f>H36/$H$51</f>
        <v>#DIV/0!</v>
      </c>
    </row>
    <row r="37" spans="1:9">
      <c r="A37" s="110"/>
      <c r="B37" s="105" t="s">
        <v>153</v>
      </c>
      <c r="C37" s="105" t="s">
        <v>154</v>
      </c>
      <c r="D37" s="7">
        <v>100</v>
      </c>
      <c r="E37" s="106" t="s">
        <v>155</v>
      </c>
      <c r="F37" s="101">
        <f>ROUNDUP((H52*1.5)/100,0)</f>
        <v>0</v>
      </c>
      <c r="G37" s="48">
        <v>71.5</v>
      </c>
      <c r="H37" s="48">
        <f t="shared" ref="H37:H48" si="11">G37*F37</f>
        <v>0</v>
      </c>
      <c r="I37" s="103" t="e">
        <f t="shared" ref="I37:I49" si="12">H37/$H$51</f>
        <v>#DIV/0!</v>
      </c>
    </row>
    <row r="38" spans="1:9">
      <c r="A38" s="110"/>
      <c r="B38" s="105" t="s">
        <v>156</v>
      </c>
      <c r="C38" s="105" t="s">
        <v>157</v>
      </c>
      <c r="D38" s="7">
        <v>100</v>
      </c>
      <c r="E38" s="106" t="s">
        <v>155</v>
      </c>
      <c r="F38" s="101">
        <f>F37</f>
        <v>0</v>
      </c>
      <c r="G38" s="48">
        <v>85</v>
      </c>
      <c r="H38" s="48">
        <f t="shared" si="11"/>
        <v>0</v>
      </c>
      <c r="I38" s="103" t="e">
        <f t="shared" si="12"/>
        <v>#DIV/0!</v>
      </c>
    </row>
    <row r="39" spans="1:9">
      <c r="A39" s="110"/>
      <c r="B39" s="105" t="s">
        <v>158</v>
      </c>
      <c r="C39" s="105" t="s">
        <v>159</v>
      </c>
      <c r="D39" s="7">
        <v>100</v>
      </c>
      <c r="E39" s="106" t="s">
        <v>155</v>
      </c>
      <c r="F39" s="101">
        <f>IF(F21&gt;0,1,0)</f>
        <v>0</v>
      </c>
      <c r="G39" s="48">
        <v>145</v>
      </c>
      <c r="H39" s="48">
        <f t="shared" si="11"/>
        <v>0</v>
      </c>
      <c r="I39" s="103" t="e">
        <f t="shared" si="12"/>
        <v>#DIV/0!</v>
      </c>
    </row>
    <row r="40" spans="1:9">
      <c r="A40" s="110"/>
      <c r="B40" s="105" t="s">
        <v>160</v>
      </c>
      <c r="C40" s="105" t="s">
        <v>161</v>
      </c>
      <c r="D40" s="7">
        <v>100</v>
      </c>
      <c r="E40" s="106" t="s">
        <v>155</v>
      </c>
      <c r="F40" s="101">
        <f>F39</f>
        <v>0</v>
      </c>
      <c r="G40" s="48">
        <v>265</v>
      </c>
      <c r="H40" s="48">
        <f>G40*F40</f>
        <v>0</v>
      </c>
      <c r="I40" s="103" t="e">
        <f t="shared" si="12"/>
        <v>#DIV/0!</v>
      </c>
    </row>
    <row r="41" spans="1:9">
      <c r="A41" s="110"/>
      <c r="B41" s="105" t="s">
        <v>162</v>
      </c>
      <c r="C41" s="105" t="s">
        <v>163</v>
      </c>
      <c r="D41" s="7">
        <v>250</v>
      </c>
      <c r="E41" s="106" t="s">
        <v>155</v>
      </c>
      <c r="F41" s="101">
        <f>ROUNDUP(H52/250,0)</f>
        <v>0</v>
      </c>
      <c r="G41" s="48">
        <v>77.5</v>
      </c>
      <c r="H41" s="48">
        <f t="shared" si="11"/>
        <v>0</v>
      </c>
      <c r="I41" s="103" t="e">
        <f t="shared" si="12"/>
        <v>#DIV/0!</v>
      </c>
    </row>
    <row r="42" spans="1:9">
      <c r="A42" s="110"/>
      <c r="B42" s="105" t="s">
        <v>164</v>
      </c>
      <c r="C42" s="105" t="s">
        <v>165</v>
      </c>
      <c r="D42" s="7">
        <v>100</v>
      </c>
      <c r="E42" s="106" t="s">
        <v>155</v>
      </c>
      <c r="F42" s="101">
        <v>0</v>
      </c>
      <c r="G42" s="48">
        <v>90</v>
      </c>
      <c r="H42" s="48">
        <f t="shared" si="11"/>
        <v>0</v>
      </c>
      <c r="I42" s="103" t="e">
        <f t="shared" si="12"/>
        <v>#DIV/0!</v>
      </c>
    </row>
    <row r="43" spans="1:9">
      <c r="A43" s="110"/>
      <c r="B43" s="105" t="s">
        <v>166</v>
      </c>
      <c r="C43" s="105" t="s">
        <v>167</v>
      </c>
      <c r="D43" s="7">
        <v>100</v>
      </c>
      <c r="E43" s="106" t="s">
        <v>155</v>
      </c>
      <c r="F43" s="101">
        <v>0</v>
      </c>
      <c r="G43" s="48">
        <v>129</v>
      </c>
      <c r="H43" s="48">
        <f t="shared" si="11"/>
        <v>0</v>
      </c>
      <c r="I43" s="103" t="e">
        <f t="shared" si="12"/>
        <v>#DIV/0!</v>
      </c>
    </row>
    <row r="44" spans="1:9">
      <c r="A44" s="110"/>
      <c r="B44" s="105" t="s">
        <v>168</v>
      </c>
      <c r="C44" s="105" t="s">
        <v>169</v>
      </c>
      <c r="D44" s="7">
        <v>50</v>
      </c>
      <c r="E44" s="106" t="s">
        <v>155</v>
      </c>
      <c r="F44" s="101">
        <f>IF(F19&gt;0,1,0)</f>
        <v>0</v>
      </c>
      <c r="G44" s="48">
        <v>89</v>
      </c>
      <c r="H44" s="48">
        <f t="shared" si="11"/>
        <v>0</v>
      </c>
      <c r="I44" s="103" t="e">
        <f t="shared" si="12"/>
        <v>#DIV/0!</v>
      </c>
    </row>
    <row r="45" spans="1:9">
      <c r="A45" s="110"/>
      <c r="B45" s="105" t="s">
        <v>170</v>
      </c>
      <c r="C45" s="105" t="s">
        <v>171</v>
      </c>
      <c r="D45" s="7">
        <v>20</v>
      </c>
      <c r="E45" s="106" t="s">
        <v>155</v>
      </c>
      <c r="F45" s="101">
        <v>0</v>
      </c>
      <c r="G45" s="48">
        <v>39</v>
      </c>
      <c r="H45" s="48">
        <f t="shared" si="11"/>
        <v>0</v>
      </c>
      <c r="I45" s="103" t="e">
        <f t="shared" si="12"/>
        <v>#DIV/0!</v>
      </c>
    </row>
    <row r="46" spans="1:9">
      <c r="A46" s="110"/>
      <c r="B46" s="105" t="s">
        <v>172</v>
      </c>
      <c r="C46" s="105" t="s">
        <v>173</v>
      </c>
      <c r="D46" s="7">
        <v>10</v>
      </c>
      <c r="E46" s="106" t="s">
        <v>155</v>
      </c>
      <c r="F46" s="101">
        <f>IF(F21&gt;0,1,0)</f>
        <v>0</v>
      </c>
      <c r="G46" s="48">
        <v>23.5</v>
      </c>
      <c r="H46" s="48">
        <f t="shared" si="11"/>
        <v>0</v>
      </c>
      <c r="I46" s="103" t="e">
        <f t="shared" si="12"/>
        <v>#DIV/0!</v>
      </c>
    </row>
    <row r="47" spans="1:9">
      <c r="A47" s="110"/>
      <c r="B47" s="105" t="s">
        <v>174</v>
      </c>
      <c r="C47" s="105" t="s">
        <v>175</v>
      </c>
      <c r="D47" s="7">
        <v>100</v>
      </c>
      <c r="E47" s="106" t="s">
        <v>155</v>
      </c>
      <c r="F47" s="101">
        <f>ROUNDUP(IF('BoQ from Engineer'!C10&gt;0,F12+F35,F12)/100,0)</f>
        <v>0</v>
      </c>
      <c r="G47" s="48">
        <v>18.02</v>
      </c>
      <c r="H47" s="48">
        <f t="shared" si="11"/>
        <v>0</v>
      </c>
      <c r="I47" s="103" t="e">
        <f t="shared" si="12"/>
        <v>#DIV/0!</v>
      </c>
    </row>
    <row r="48" spans="1:9">
      <c r="A48" s="110"/>
      <c r="B48" s="105" t="s">
        <v>176</v>
      </c>
      <c r="C48" s="105" t="s">
        <v>177</v>
      </c>
      <c r="D48" s="7">
        <v>100</v>
      </c>
      <c r="E48" s="106" t="s">
        <v>155</v>
      </c>
      <c r="F48" s="101">
        <f>ROUNDUP(F12/100,0)</f>
        <v>0</v>
      </c>
      <c r="G48" s="48">
        <v>28.9</v>
      </c>
      <c r="H48" s="48">
        <f t="shared" si="11"/>
        <v>0</v>
      </c>
      <c r="I48" s="103" t="e">
        <f t="shared" si="12"/>
        <v>#DIV/0!</v>
      </c>
    </row>
    <row r="49" spans="1:9" s="5" customFormat="1" ht="15" customHeight="1">
      <c r="A49" s="104"/>
      <c r="B49" s="105" t="s">
        <v>178</v>
      </c>
      <c r="C49" s="105" t="s">
        <v>179</v>
      </c>
      <c r="D49" s="106">
        <v>100</v>
      </c>
      <c r="E49" s="106" t="s">
        <v>7</v>
      </c>
      <c r="F49" s="49">
        <f>IF('BoQ from Engineer'!C10&gt;0,ROUNDUP(H52/100,0),0)</f>
        <v>0</v>
      </c>
      <c r="G49" s="48">
        <v>15.18</v>
      </c>
      <c r="H49" s="48">
        <f>G49*F49</f>
        <v>0</v>
      </c>
      <c r="I49" s="103" t="e">
        <f t="shared" si="12"/>
        <v>#DIV/0!</v>
      </c>
    </row>
    <row r="50" spans="1:9" s="5" customFormat="1" ht="15" customHeight="1">
      <c r="A50" s="104"/>
      <c r="B50" s="105" t="s">
        <v>180</v>
      </c>
      <c r="C50" s="105" t="s">
        <v>181</v>
      </c>
      <c r="D50" s="106">
        <v>100</v>
      </c>
      <c r="E50" s="106" t="s">
        <v>7</v>
      </c>
      <c r="F50" s="49">
        <f>IF((F3+F5+F9+F10)&gt;1,1,0)</f>
        <v>0</v>
      </c>
      <c r="G50" s="48">
        <v>24.03</v>
      </c>
      <c r="H50" s="48">
        <f>G50*F50</f>
        <v>0</v>
      </c>
      <c r="I50" s="103">
        <v>4.3544070567850564E-4</v>
      </c>
    </row>
    <row r="51" spans="1:9" ht="21" customHeight="1">
      <c r="A51" s="196" t="s">
        <v>182</v>
      </c>
      <c r="B51" s="197"/>
      <c r="C51" s="197"/>
      <c r="D51" s="197"/>
      <c r="E51" s="197"/>
      <c r="F51" s="197"/>
      <c r="G51" s="198"/>
      <c r="H51" s="1">
        <f>SUM(H3:H50)</f>
        <v>0</v>
      </c>
      <c r="I51" s="31" t="e">
        <f>SUM(I3:I50)</f>
        <v>#DIV/0!</v>
      </c>
    </row>
    <row r="52" spans="1:9" ht="21" customHeight="1">
      <c r="A52" s="196" t="s">
        <v>183</v>
      </c>
      <c r="B52" s="197"/>
      <c r="C52" s="197"/>
      <c r="D52" s="197"/>
      <c r="E52" s="197"/>
      <c r="F52" s="197"/>
      <c r="G52" s="198"/>
      <c r="H52" s="29">
        <f>'BoQ from Engineer'!E3</f>
        <v>0</v>
      </c>
      <c r="I52" s="8"/>
    </row>
    <row r="53" spans="1:9" ht="21" customHeight="1">
      <c r="A53" s="196" t="s">
        <v>184</v>
      </c>
      <c r="B53" s="197"/>
      <c r="C53" s="197"/>
      <c r="D53" s="197"/>
      <c r="E53" s="197"/>
      <c r="F53" s="197"/>
      <c r="G53" s="198"/>
      <c r="H53" s="1" t="e">
        <f>H51/H52</f>
        <v>#DIV/0!</v>
      </c>
      <c r="I53" s="8"/>
    </row>
  </sheetData>
  <sheetProtection sheet="1" objects="1" scenarios="1"/>
  <autoFilter ref="A1:I53" xr:uid="{15B77035-465E-4819-8799-A8E2A30B3BB5}"/>
  <mergeCells count="3">
    <mergeCell ref="A51:G51"/>
    <mergeCell ref="A52:G52"/>
    <mergeCell ref="A53:G53"/>
  </mergeCells>
  <phoneticPr fontId="4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M39"/>
  <sheetViews>
    <sheetView topLeftCell="A7" workbookViewId="0">
      <selection activeCell="C35" sqref="C35"/>
    </sheetView>
  </sheetViews>
  <sheetFormatPr defaultColWidth="9.140625" defaultRowHeight="12"/>
  <cols>
    <col min="1" max="1" width="4.85546875" style="3" customWidth="1"/>
    <col min="2" max="2" width="19.5703125" style="5" customWidth="1"/>
    <col min="3" max="3" width="82.7109375" style="5" bestFit="1" customWidth="1"/>
    <col min="4" max="4" width="18.85546875" style="8" customWidth="1"/>
    <col min="5" max="5" width="9.140625" style="8"/>
    <col min="6" max="6" width="9.85546875" style="10" bestFit="1" customWidth="1"/>
    <col min="7" max="7" width="12.140625" style="6" customWidth="1"/>
    <col min="8" max="8" width="14.140625" style="6" bestFit="1" customWidth="1"/>
    <col min="9" max="9" width="18.85546875" style="8" customWidth="1"/>
    <col min="10" max="10" width="9.140625" style="5"/>
    <col min="11" max="11" width="14" style="5" bestFit="1" customWidth="1"/>
    <col min="12" max="16384" width="9.140625" style="5"/>
  </cols>
  <sheetData>
    <row r="1" spans="1:13" s="2" customFormat="1" ht="40.5" customHeight="1">
      <c r="A1" s="117"/>
      <c r="B1" s="118" t="s">
        <v>185</v>
      </c>
      <c r="C1" s="117" t="s">
        <v>186</v>
      </c>
      <c r="D1" s="117" t="s">
        <v>187</v>
      </c>
      <c r="E1" s="117" t="s">
        <v>78</v>
      </c>
      <c r="F1" s="14" t="s">
        <v>79</v>
      </c>
      <c r="G1" s="15" t="s">
        <v>80</v>
      </c>
      <c r="H1" s="15" t="s">
        <v>81</v>
      </c>
      <c r="I1" s="12" t="s">
        <v>82</v>
      </c>
      <c r="J1" s="15" t="s">
        <v>188</v>
      </c>
      <c r="K1" s="116">
        <v>80</v>
      </c>
    </row>
    <row r="2" spans="1:13" s="3" customFormat="1" ht="15" customHeight="1">
      <c r="A2" s="119" t="s">
        <v>189</v>
      </c>
      <c r="B2" s="114"/>
      <c r="C2" s="114"/>
      <c r="D2" s="114"/>
      <c r="E2" s="114"/>
      <c r="F2" s="30"/>
      <c r="G2" s="50"/>
      <c r="H2" s="50"/>
      <c r="I2" s="50"/>
      <c r="J2" s="55" t="s">
        <v>190</v>
      </c>
      <c r="K2" s="51"/>
    </row>
    <row r="3" spans="1:13" s="4" customFormat="1" ht="15" customHeight="1">
      <c r="A3" s="120"/>
      <c r="B3" s="120" t="s">
        <v>191</v>
      </c>
      <c r="C3" s="120" t="s">
        <v>192</v>
      </c>
      <c r="D3" s="121" t="s">
        <v>190</v>
      </c>
      <c r="E3" s="9" t="s">
        <v>193</v>
      </c>
      <c r="F3" s="49">
        <f>'BoQ from Engineer'!C28+'BoQ from Engineer'!C29</f>
        <v>0</v>
      </c>
      <c r="G3" s="112">
        <v>200</v>
      </c>
      <c r="H3" s="48">
        <f>G3*F3</f>
        <v>0</v>
      </c>
      <c r="I3" s="52" t="e">
        <f>H3/$H$37</f>
        <v>#DIV/0!</v>
      </c>
      <c r="J3" s="55" t="s">
        <v>194</v>
      </c>
      <c r="K3" s="46"/>
    </row>
    <row r="4" spans="1:13" s="4" customFormat="1" ht="15" customHeight="1">
      <c r="A4" s="120"/>
      <c r="B4" s="120" t="s">
        <v>191</v>
      </c>
      <c r="C4" s="120" t="s">
        <v>195</v>
      </c>
      <c r="D4" s="121" t="s">
        <v>190</v>
      </c>
      <c r="E4" s="9" t="s">
        <v>193</v>
      </c>
      <c r="F4" s="49">
        <f>'BoQ from Engineer'!C30+'BoQ from Engineer'!C31</f>
        <v>0</v>
      </c>
      <c r="G4" s="112">
        <v>400</v>
      </c>
      <c r="H4" s="48">
        <f>G4*F4</f>
        <v>0</v>
      </c>
      <c r="I4" s="52" t="e">
        <f>H4/$H$37</f>
        <v>#DIV/0!</v>
      </c>
    </row>
    <row r="5" spans="1:13" s="4" customFormat="1" ht="15" customHeight="1">
      <c r="A5" s="120"/>
      <c r="B5" s="120" t="s">
        <v>191</v>
      </c>
      <c r="C5" s="120" t="s">
        <v>196</v>
      </c>
      <c r="D5" s="121" t="s">
        <v>190</v>
      </c>
      <c r="E5" s="9" t="s">
        <v>193</v>
      </c>
      <c r="F5" s="49">
        <f>F3*5+F4*13</f>
        <v>0</v>
      </c>
      <c r="G5" s="112">
        <v>20</v>
      </c>
      <c r="H5" s="48">
        <f>G5*F5</f>
        <v>0</v>
      </c>
      <c r="I5" s="52" t="e">
        <f>H5/$H$37</f>
        <v>#DIV/0!</v>
      </c>
    </row>
    <row r="6" spans="1:13" s="4" customFormat="1" ht="15" customHeight="1">
      <c r="A6" s="120"/>
      <c r="B6" s="120" t="s">
        <v>191</v>
      </c>
      <c r="C6" s="120" t="s">
        <v>197</v>
      </c>
      <c r="D6" s="121" t="s">
        <v>190</v>
      </c>
      <c r="E6" s="9" t="s">
        <v>193</v>
      </c>
      <c r="F6" s="49">
        <f>'BoQ from Engineer'!C32+'BoQ from Engineer'!C33</f>
        <v>0</v>
      </c>
      <c r="G6" s="112">
        <v>32</v>
      </c>
      <c r="H6" s="48">
        <f>G6*F6</f>
        <v>0</v>
      </c>
      <c r="I6" s="52" t="e">
        <f>H6/$H$37</f>
        <v>#DIV/0!</v>
      </c>
      <c r="J6" s="3"/>
      <c r="K6" s="3"/>
    </row>
    <row r="7" spans="1:13" s="4" customFormat="1" ht="15" customHeight="1">
      <c r="A7" s="120"/>
      <c r="B7" s="120" t="s">
        <v>191</v>
      </c>
      <c r="C7" s="120" t="s">
        <v>198</v>
      </c>
      <c r="D7" s="121" t="s">
        <v>190</v>
      </c>
      <c r="E7" s="9" t="s">
        <v>193</v>
      </c>
      <c r="F7" s="49">
        <f>F3+F4</f>
        <v>0</v>
      </c>
      <c r="G7" s="112">
        <v>60</v>
      </c>
      <c r="H7" s="48">
        <f>G7*F7</f>
        <v>0</v>
      </c>
      <c r="I7" s="52" t="e">
        <f>H7/$H$37</f>
        <v>#DIV/0!</v>
      </c>
      <c r="J7" s="3"/>
      <c r="K7" s="3"/>
    </row>
    <row r="8" spans="1:13" s="3" customFormat="1" ht="15" customHeight="1">
      <c r="A8" s="122" t="s">
        <v>199</v>
      </c>
      <c r="B8" s="114"/>
      <c r="C8" s="114"/>
      <c r="D8" s="114"/>
      <c r="E8" s="114"/>
      <c r="F8" s="30"/>
      <c r="G8" s="113"/>
      <c r="H8" s="30"/>
      <c r="I8" s="50"/>
      <c r="L8" s="4"/>
      <c r="M8" s="4"/>
    </row>
    <row r="9" spans="1:13" s="4" customFormat="1" ht="15" customHeight="1">
      <c r="A9" s="123"/>
      <c r="B9" s="120" t="s">
        <v>200</v>
      </c>
      <c r="C9" s="120" t="s">
        <v>201</v>
      </c>
      <c r="D9" s="121" t="s">
        <v>190</v>
      </c>
      <c r="E9" s="9" t="s">
        <v>17</v>
      </c>
      <c r="F9" s="49">
        <f>'Trenching Worksheet'!E28</f>
        <v>0</v>
      </c>
      <c r="G9" s="112">
        <v>1</v>
      </c>
      <c r="H9" s="48">
        <f t="shared" ref="H9" si="0">G9*F9</f>
        <v>0</v>
      </c>
      <c r="I9" s="52" t="e">
        <f t="shared" ref="I9:I21" si="1">H9/$H$37</f>
        <v>#DIV/0!</v>
      </c>
      <c r="J9" s="3"/>
      <c r="K9" s="3"/>
    </row>
    <row r="10" spans="1:13" s="4" customFormat="1" ht="15" customHeight="1">
      <c r="A10" s="123"/>
      <c r="B10" s="120" t="s">
        <v>200</v>
      </c>
      <c r="C10" s="120" t="s">
        <v>202</v>
      </c>
      <c r="D10" s="121" t="s">
        <v>190</v>
      </c>
      <c r="E10" s="9" t="s">
        <v>17</v>
      </c>
      <c r="F10" s="49">
        <f>'Trenching Worksheet'!F28</f>
        <v>0</v>
      </c>
      <c r="G10" s="112">
        <v>0.65</v>
      </c>
      <c r="H10" s="48">
        <f>G10*F10</f>
        <v>0</v>
      </c>
      <c r="I10" s="52" t="e">
        <f t="shared" si="1"/>
        <v>#DIV/0!</v>
      </c>
      <c r="J10" s="3"/>
      <c r="K10" s="3"/>
    </row>
    <row r="11" spans="1:13" s="4" customFormat="1" ht="15" customHeight="1">
      <c r="A11" s="123"/>
      <c r="B11" s="120" t="s">
        <v>200</v>
      </c>
      <c r="C11" s="120" t="s">
        <v>203</v>
      </c>
      <c r="D11" s="121" t="s">
        <v>190</v>
      </c>
      <c r="E11" s="9" t="s">
        <v>17</v>
      </c>
      <c r="F11" s="49">
        <f>'Trenching Worksheet'!G28</f>
        <v>0</v>
      </c>
      <c r="G11" s="112">
        <v>13</v>
      </c>
      <c r="H11" s="48">
        <f t="shared" ref="H11" si="2">G11*F11</f>
        <v>0</v>
      </c>
      <c r="I11" s="52" t="e">
        <f t="shared" si="1"/>
        <v>#DIV/0!</v>
      </c>
      <c r="J11" s="3"/>
      <c r="K11" s="3"/>
    </row>
    <row r="12" spans="1:13" s="4" customFormat="1" ht="15" customHeight="1">
      <c r="A12" s="123"/>
      <c r="B12" s="120" t="s">
        <v>200</v>
      </c>
      <c r="C12" s="120" t="s">
        <v>204</v>
      </c>
      <c r="D12" s="121" t="s">
        <v>190</v>
      </c>
      <c r="E12" s="9" t="s">
        <v>17</v>
      </c>
      <c r="F12" s="49">
        <f>'Trenching Worksheet'!H28</f>
        <v>0</v>
      </c>
      <c r="G12" s="112">
        <v>1</v>
      </c>
      <c r="H12" s="48">
        <f>G12*F12</f>
        <v>0</v>
      </c>
      <c r="I12" s="52" t="e">
        <f t="shared" si="1"/>
        <v>#DIV/0!</v>
      </c>
    </row>
    <row r="13" spans="1:13" s="4" customFormat="1" ht="15" customHeight="1">
      <c r="A13" s="123"/>
      <c r="B13" s="120" t="s">
        <v>200</v>
      </c>
      <c r="C13" s="120" t="s">
        <v>205</v>
      </c>
      <c r="D13" s="121" t="s">
        <v>190</v>
      </c>
      <c r="E13" s="9" t="s">
        <v>17</v>
      </c>
      <c r="F13" s="49">
        <f>'Trenching Worksheet'!I28</f>
        <v>0</v>
      </c>
      <c r="G13" s="112">
        <v>1</v>
      </c>
      <c r="H13" s="48">
        <f>G13*F13</f>
        <v>0</v>
      </c>
      <c r="I13" s="52" t="e">
        <f t="shared" si="1"/>
        <v>#DIV/0!</v>
      </c>
    </row>
    <row r="14" spans="1:13" s="4" customFormat="1" ht="15" customHeight="1">
      <c r="A14" s="123"/>
      <c r="B14" s="120" t="s">
        <v>200</v>
      </c>
      <c r="C14" s="120" t="s">
        <v>206</v>
      </c>
      <c r="D14" s="121" t="s">
        <v>190</v>
      </c>
      <c r="E14" s="9" t="s">
        <v>17</v>
      </c>
      <c r="F14" s="49">
        <f>'Trenching Worksheet'!J28</f>
        <v>0</v>
      </c>
      <c r="G14" s="112">
        <v>0.65</v>
      </c>
      <c r="H14" s="48">
        <f>G14*F14</f>
        <v>0</v>
      </c>
      <c r="I14" s="52" t="e">
        <f t="shared" si="1"/>
        <v>#DIV/0!</v>
      </c>
    </row>
    <row r="15" spans="1:13" s="4" customFormat="1" ht="15" customHeight="1">
      <c r="A15" s="124"/>
      <c r="B15" s="120" t="s">
        <v>207</v>
      </c>
      <c r="C15" s="120" t="s">
        <v>208</v>
      </c>
      <c r="D15" s="121" t="s">
        <v>190</v>
      </c>
      <c r="E15" s="9" t="s">
        <v>17</v>
      </c>
      <c r="F15" s="49">
        <f>'Drop Placement Worksheet'!D182</f>
        <v>0</v>
      </c>
      <c r="G15" s="112">
        <v>1</v>
      </c>
      <c r="H15" s="48">
        <f t="shared" ref="H15:H16" si="3">G15*F15</f>
        <v>0</v>
      </c>
      <c r="I15" s="52" t="e">
        <f t="shared" si="1"/>
        <v>#DIV/0!</v>
      </c>
    </row>
    <row r="16" spans="1:13" s="4" customFormat="1" ht="15" customHeight="1">
      <c r="A16" s="124"/>
      <c r="B16" s="120" t="s">
        <v>207</v>
      </c>
      <c r="C16" s="120" t="s">
        <v>209</v>
      </c>
      <c r="D16" s="121" t="s">
        <v>190</v>
      </c>
      <c r="E16" s="9" t="s">
        <v>17</v>
      </c>
      <c r="F16" s="49">
        <f>'Drop Placement Worksheet'!E182</f>
        <v>0</v>
      </c>
      <c r="G16" s="112">
        <v>0.65</v>
      </c>
      <c r="H16" s="48">
        <f t="shared" si="3"/>
        <v>0</v>
      </c>
      <c r="I16" s="52" t="e">
        <f t="shared" si="1"/>
        <v>#DIV/0!</v>
      </c>
    </row>
    <row r="17" spans="1:11" s="4" customFormat="1" ht="15" customHeight="1">
      <c r="A17" s="124"/>
      <c r="B17" s="120" t="s">
        <v>207</v>
      </c>
      <c r="C17" s="120" t="s">
        <v>210</v>
      </c>
      <c r="D17" s="121" t="s">
        <v>190</v>
      </c>
      <c r="E17" s="9" t="s">
        <v>17</v>
      </c>
      <c r="F17" s="49">
        <f>'Drop Placement Worksheet'!F182</f>
        <v>0</v>
      </c>
      <c r="G17" s="112">
        <v>13</v>
      </c>
      <c r="H17" s="48">
        <f t="shared" ref="H17" si="4">G17*F17</f>
        <v>0</v>
      </c>
      <c r="I17" s="52" t="e">
        <f t="shared" si="1"/>
        <v>#DIV/0!</v>
      </c>
    </row>
    <row r="18" spans="1:11" s="4" customFormat="1" ht="15" customHeight="1">
      <c r="A18" s="124"/>
      <c r="B18" s="120" t="s">
        <v>207</v>
      </c>
      <c r="C18" s="120" t="s">
        <v>211</v>
      </c>
      <c r="D18" s="121" t="s">
        <v>190</v>
      </c>
      <c r="E18" s="9" t="s">
        <v>17</v>
      </c>
      <c r="F18" s="49">
        <f>'Drop Placement Worksheet'!G182</f>
        <v>0</v>
      </c>
      <c r="G18" s="112">
        <v>1</v>
      </c>
      <c r="H18" s="48">
        <f t="shared" ref="H18" si="5">G18*F18</f>
        <v>0</v>
      </c>
      <c r="I18" s="52" t="e">
        <f t="shared" si="1"/>
        <v>#DIV/0!</v>
      </c>
    </row>
    <row r="19" spans="1:11" s="4" customFormat="1" ht="15" customHeight="1">
      <c r="A19" s="124"/>
      <c r="B19" s="120" t="s">
        <v>207</v>
      </c>
      <c r="C19" s="120" t="s">
        <v>212</v>
      </c>
      <c r="D19" s="121" t="s">
        <v>190</v>
      </c>
      <c r="E19" s="9" t="s">
        <v>17</v>
      </c>
      <c r="F19" s="49">
        <f>'Drop Placement Worksheet'!H182</f>
        <v>0</v>
      </c>
      <c r="G19" s="112">
        <v>1</v>
      </c>
      <c r="H19" s="48">
        <f t="shared" ref="H19:H21" si="6">G19*F19</f>
        <v>0</v>
      </c>
      <c r="I19" s="52" t="e">
        <f t="shared" si="1"/>
        <v>#DIV/0!</v>
      </c>
    </row>
    <row r="20" spans="1:11" s="4" customFormat="1" ht="15" customHeight="1">
      <c r="A20" s="124"/>
      <c r="B20" s="120" t="s">
        <v>207</v>
      </c>
      <c r="C20" s="120" t="s">
        <v>213</v>
      </c>
      <c r="D20" s="121" t="s">
        <v>190</v>
      </c>
      <c r="E20" s="9" t="s">
        <v>17</v>
      </c>
      <c r="F20" s="49">
        <f>'Drop Placement Worksheet'!I182</f>
        <v>0</v>
      </c>
      <c r="G20" s="112">
        <v>0.65</v>
      </c>
      <c r="H20" s="48">
        <f t="shared" si="6"/>
        <v>0</v>
      </c>
      <c r="I20" s="52" t="e">
        <f t="shared" si="1"/>
        <v>#DIV/0!</v>
      </c>
      <c r="J20" s="3"/>
      <c r="K20" s="3"/>
    </row>
    <row r="21" spans="1:11" s="4" customFormat="1" ht="15" customHeight="1">
      <c r="A21" s="124"/>
      <c r="B21" s="120" t="s">
        <v>207</v>
      </c>
      <c r="C21" s="120" t="s">
        <v>214</v>
      </c>
      <c r="D21" s="121" t="s">
        <v>190</v>
      </c>
      <c r="E21" s="9" t="s">
        <v>17</v>
      </c>
      <c r="F21" s="49">
        <f>IF('BoQ from Engineer'!C10&gt;0,'BoQ from Engineer'!C47,0)</f>
        <v>0</v>
      </c>
      <c r="G21" s="112">
        <v>1.5</v>
      </c>
      <c r="H21" s="48">
        <f t="shared" si="6"/>
        <v>0</v>
      </c>
      <c r="I21" s="52" t="e">
        <f t="shared" si="1"/>
        <v>#DIV/0!</v>
      </c>
    </row>
    <row r="22" spans="1:11" s="3" customFormat="1" ht="15" customHeight="1">
      <c r="A22" s="122" t="s">
        <v>215</v>
      </c>
      <c r="B22" s="114"/>
      <c r="C22" s="114"/>
      <c r="D22" s="114"/>
      <c r="E22" s="114"/>
      <c r="F22" s="30"/>
      <c r="G22" s="114"/>
      <c r="H22" s="50"/>
      <c r="I22" s="50"/>
      <c r="J22" s="5"/>
      <c r="K22" s="5"/>
    </row>
    <row r="23" spans="1:11" ht="15" customHeight="1">
      <c r="A23" s="124"/>
      <c r="B23" s="120" t="s">
        <v>216</v>
      </c>
      <c r="C23" s="120" t="s">
        <v>217</v>
      </c>
      <c r="D23" s="9" t="s">
        <v>190</v>
      </c>
      <c r="E23" s="9" t="s">
        <v>193</v>
      </c>
      <c r="F23" s="49">
        <f>F24+F25</f>
        <v>0</v>
      </c>
      <c r="G23" s="112">
        <v>100</v>
      </c>
      <c r="H23" s="48">
        <f t="shared" ref="H23:H28" si="7">G23*F23</f>
        <v>0</v>
      </c>
      <c r="I23" s="52" t="e">
        <f t="shared" ref="I23:I28" si="8">H23/$H$37</f>
        <v>#DIV/0!</v>
      </c>
    </row>
    <row r="24" spans="1:11" ht="15" customHeight="1">
      <c r="A24" s="120"/>
      <c r="B24" s="120" t="s">
        <v>216</v>
      </c>
      <c r="C24" s="120" t="s">
        <v>218</v>
      </c>
      <c r="D24" s="9">
        <v>30</v>
      </c>
      <c r="E24" s="9" t="s">
        <v>193</v>
      </c>
      <c r="F24" s="49">
        <f>'BoQ from Engineer'!C34+'Hex Material'!F25</f>
        <v>0</v>
      </c>
      <c r="G24" s="115">
        <f>D24/60*$K$1</f>
        <v>40</v>
      </c>
      <c r="H24" s="48">
        <f t="shared" si="7"/>
        <v>0</v>
      </c>
      <c r="I24" s="52" t="e">
        <f t="shared" si="8"/>
        <v>#DIV/0!</v>
      </c>
    </row>
    <row r="25" spans="1:11" ht="15" customHeight="1">
      <c r="A25" s="120"/>
      <c r="B25" s="120" t="s">
        <v>216</v>
      </c>
      <c r="C25" s="120" t="s">
        <v>219</v>
      </c>
      <c r="D25" s="9">
        <v>40</v>
      </c>
      <c r="E25" s="9" t="s">
        <v>193</v>
      </c>
      <c r="F25" s="49">
        <f>'BoQ from Engineer'!C35</f>
        <v>0</v>
      </c>
      <c r="G25" s="115">
        <f>D25/60*$K$1</f>
        <v>53.333333333333329</v>
      </c>
      <c r="H25" s="48">
        <f t="shared" si="7"/>
        <v>0</v>
      </c>
      <c r="I25" s="52" t="e">
        <f t="shared" si="8"/>
        <v>#DIV/0!</v>
      </c>
    </row>
    <row r="26" spans="1:11" ht="15" customHeight="1">
      <c r="A26" s="120"/>
      <c r="B26" s="120" t="s">
        <v>216</v>
      </c>
      <c r="C26" s="120" t="s">
        <v>220</v>
      </c>
      <c r="D26" s="9" t="s">
        <v>190</v>
      </c>
      <c r="E26" s="9" t="s">
        <v>193</v>
      </c>
      <c r="F26" s="49">
        <f>F24+F25</f>
        <v>0</v>
      </c>
      <c r="G26" s="112">
        <v>15</v>
      </c>
      <c r="H26" s="48">
        <f t="shared" si="7"/>
        <v>0</v>
      </c>
      <c r="I26" s="52" t="e">
        <f t="shared" si="8"/>
        <v>#DIV/0!</v>
      </c>
      <c r="J26" s="4"/>
      <c r="K26" s="4"/>
    </row>
    <row r="27" spans="1:11" s="4" customFormat="1" ht="15" customHeight="1">
      <c r="A27" s="120"/>
      <c r="B27" s="120" t="s">
        <v>216</v>
      </c>
      <c r="C27" s="120" t="s">
        <v>221</v>
      </c>
      <c r="D27" s="121">
        <v>7</v>
      </c>
      <c r="E27" s="9" t="s">
        <v>193</v>
      </c>
      <c r="F27" s="49">
        <f>H38+F30</f>
        <v>0</v>
      </c>
      <c r="G27" s="115">
        <f>D27/60*$K$1</f>
        <v>9.3333333333333339</v>
      </c>
      <c r="H27" s="48">
        <f t="shared" si="7"/>
        <v>0</v>
      </c>
      <c r="I27" s="52" t="e">
        <f t="shared" si="8"/>
        <v>#DIV/0!</v>
      </c>
      <c r="J27" s="5"/>
      <c r="K27" s="5"/>
    </row>
    <row r="28" spans="1:11" ht="15" customHeight="1">
      <c r="A28" s="124"/>
      <c r="B28" s="120" t="s">
        <v>216</v>
      </c>
      <c r="C28" s="120" t="s">
        <v>222</v>
      </c>
      <c r="D28" s="9">
        <v>10</v>
      </c>
      <c r="E28" s="9" t="s">
        <v>193</v>
      </c>
      <c r="F28" s="49">
        <f>'BoQ from Engineer'!C36</f>
        <v>0</v>
      </c>
      <c r="G28" s="115">
        <f>D28/60*$K$1</f>
        <v>13.333333333333332</v>
      </c>
      <c r="H28" s="48">
        <f t="shared" si="7"/>
        <v>0</v>
      </c>
      <c r="I28" s="52" t="e">
        <f t="shared" si="8"/>
        <v>#DIV/0!</v>
      </c>
      <c r="J28" s="3"/>
      <c r="K28" s="3"/>
    </row>
    <row r="29" spans="1:11" s="3" customFormat="1" ht="15" customHeight="1">
      <c r="A29" s="125" t="s">
        <v>223</v>
      </c>
      <c r="B29" s="114"/>
      <c r="C29" s="114"/>
      <c r="D29" s="114"/>
      <c r="E29" s="114"/>
      <c r="F29" s="30"/>
      <c r="G29" s="114"/>
      <c r="H29" s="50"/>
      <c r="I29" s="50"/>
      <c r="J29" s="5"/>
      <c r="K29" s="5"/>
    </row>
    <row r="30" spans="1:11" ht="15" customHeight="1">
      <c r="A30" s="123"/>
      <c r="B30" s="120" t="s">
        <v>224</v>
      </c>
      <c r="C30" s="120" t="s">
        <v>225</v>
      </c>
      <c r="D30" s="9">
        <v>30</v>
      </c>
      <c r="E30" s="9" t="s">
        <v>193</v>
      </c>
      <c r="F30" s="49">
        <f>IF((F3+F4)&gt;1,(F3+F4)-1,0)</f>
        <v>0</v>
      </c>
      <c r="G30" s="115">
        <f>D30/60*$K$1</f>
        <v>40</v>
      </c>
      <c r="H30" s="48">
        <f t="shared" ref="H30:H33" si="9">G30*F30</f>
        <v>0</v>
      </c>
      <c r="I30" s="52" t="e">
        <f t="shared" ref="I30:I36" si="10">H30/$H$37</f>
        <v>#DIV/0!</v>
      </c>
    </row>
    <row r="31" spans="1:11" ht="15" customHeight="1">
      <c r="A31" s="123"/>
      <c r="B31" s="120" t="s">
        <v>226</v>
      </c>
      <c r="C31" s="120" t="s">
        <v>227</v>
      </c>
      <c r="D31" s="9" t="s">
        <v>190</v>
      </c>
      <c r="E31" s="9" t="s">
        <v>193</v>
      </c>
      <c r="F31" s="49">
        <f>F3+F4</f>
        <v>0</v>
      </c>
      <c r="G31" s="112">
        <v>80</v>
      </c>
      <c r="H31" s="48">
        <f t="shared" si="9"/>
        <v>0</v>
      </c>
      <c r="I31" s="52" t="e">
        <f t="shared" si="10"/>
        <v>#DIV/0!</v>
      </c>
    </row>
    <row r="32" spans="1:11" ht="15" customHeight="1">
      <c r="A32" s="123"/>
      <c r="B32" s="120" t="s">
        <v>226</v>
      </c>
      <c r="C32" s="120" t="s">
        <v>228</v>
      </c>
      <c r="D32" s="9" t="s">
        <v>190</v>
      </c>
      <c r="E32" s="9" t="s">
        <v>193</v>
      </c>
      <c r="F32" s="49">
        <f>'Hex Material'!F3*2+'Hex Material'!F5*3+'Hex Material'!F9*3+'Hex Material'!F10*9</f>
        <v>0</v>
      </c>
      <c r="G32" s="112">
        <v>25</v>
      </c>
      <c r="H32" s="48">
        <f t="shared" si="9"/>
        <v>0</v>
      </c>
      <c r="I32" s="52" t="e">
        <f t="shared" si="10"/>
        <v>#DIV/0!</v>
      </c>
    </row>
    <row r="33" spans="1:11" ht="15" customHeight="1">
      <c r="A33" s="123"/>
      <c r="B33" s="120" t="s">
        <v>229</v>
      </c>
      <c r="C33" s="120" t="s">
        <v>230</v>
      </c>
      <c r="D33" s="9" t="s">
        <v>190</v>
      </c>
      <c r="E33" s="9" t="s">
        <v>193</v>
      </c>
      <c r="F33" s="49">
        <f>F32</f>
        <v>0</v>
      </c>
      <c r="G33" s="112">
        <v>6</v>
      </c>
      <c r="H33" s="48">
        <f t="shared" si="9"/>
        <v>0</v>
      </c>
      <c r="I33" s="52" t="e">
        <f t="shared" si="10"/>
        <v>#DIV/0!</v>
      </c>
      <c r="J33"/>
      <c r="K33"/>
    </row>
    <row r="34" spans="1:11" ht="15" customHeight="1">
      <c r="A34" s="123"/>
      <c r="B34" s="120" t="s">
        <v>224</v>
      </c>
      <c r="C34" s="120" t="s">
        <v>231</v>
      </c>
      <c r="D34" s="9">
        <v>20</v>
      </c>
      <c r="E34" s="9" t="s">
        <v>193</v>
      </c>
      <c r="F34" s="49">
        <f>'BoQ from Engineer'!C10</f>
        <v>0</v>
      </c>
      <c r="G34" s="115">
        <f>D34/60*$K$1</f>
        <v>26.666666666666664</v>
      </c>
      <c r="H34" s="48">
        <f t="shared" ref="H34:H36" si="11">G34*F34</f>
        <v>0</v>
      </c>
      <c r="I34" s="52" t="e">
        <f t="shared" si="10"/>
        <v>#DIV/0!</v>
      </c>
    </row>
    <row r="35" spans="1:11" ht="15" customHeight="1">
      <c r="A35" s="123"/>
      <c r="B35" s="120" t="s">
        <v>226</v>
      </c>
      <c r="C35" s="120" t="s">
        <v>232</v>
      </c>
      <c r="D35" s="9" t="s">
        <v>190</v>
      </c>
      <c r="E35" s="9" t="s">
        <v>193</v>
      </c>
      <c r="F35" s="49">
        <f>'BoQ from Engineer'!C10*2</f>
        <v>0</v>
      </c>
      <c r="G35" s="112">
        <v>25</v>
      </c>
      <c r="H35" s="48">
        <f t="shared" si="11"/>
        <v>0</v>
      </c>
      <c r="I35" s="52" t="e">
        <f t="shared" si="10"/>
        <v>#DIV/0!</v>
      </c>
    </row>
    <row r="36" spans="1:11" ht="15" customHeight="1">
      <c r="A36" s="123"/>
      <c r="B36" s="120" t="s">
        <v>229</v>
      </c>
      <c r="C36" s="120" t="s">
        <v>230</v>
      </c>
      <c r="D36" s="9" t="s">
        <v>190</v>
      </c>
      <c r="E36" s="9" t="s">
        <v>193</v>
      </c>
      <c r="F36" s="49">
        <f>'BoQ from Engineer'!C10</f>
        <v>0</v>
      </c>
      <c r="G36" s="112">
        <v>6</v>
      </c>
      <c r="H36" s="48">
        <f t="shared" si="11"/>
        <v>0</v>
      </c>
      <c r="I36" s="52" t="e">
        <f t="shared" si="10"/>
        <v>#DIV/0!</v>
      </c>
      <c r="J36"/>
      <c r="K36"/>
    </row>
    <row r="37" spans="1:11" customFormat="1" ht="21" customHeight="1">
      <c r="A37" s="199" t="s">
        <v>233</v>
      </c>
      <c r="B37" s="200"/>
      <c r="C37" s="200"/>
      <c r="D37" s="200"/>
      <c r="E37" s="200"/>
      <c r="F37" s="200"/>
      <c r="G37" s="201"/>
      <c r="H37" s="1">
        <f>SUM(H3:H36)</f>
        <v>0</v>
      </c>
      <c r="I37" s="31" t="e">
        <f>SUM(I3:I36)</f>
        <v>#DIV/0!</v>
      </c>
      <c r="K37" s="77"/>
    </row>
    <row r="38" spans="1:11" customFormat="1" ht="21" customHeight="1">
      <c r="A38" s="199" t="s">
        <v>183</v>
      </c>
      <c r="B38" s="200"/>
      <c r="C38" s="200"/>
      <c r="D38" s="200"/>
      <c r="E38" s="200"/>
      <c r="F38" s="200"/>
      <c r="G38" s="201"/>
      <c r="H38" s="29">
        <f>'BoQ from Engineer'!E3</f>
        <v>0</v>
      </c>
      <c r="I38" s="8"/>
    </row>
    <row r="39" spans="1:11" customFormat="1" ht="21" customHeight="1">
      <c r="A39" s="199" t="s">
        <v>184</v>
      </c>
      <c r="B39" s="200"/>
      <c r="C39" s="200"/>
      <c r="D39" s="200"/>
      <c r="E39" s="200"/>
      <c r="F39" s="200"/>
      <c r="G39" s="201"/>
      <c r="H39" s="1" t="e">
        <f>H37/H38</f>
        <v>#DIV/0!</v>
      </c>
      <c r="I39" s="8"/>
      <c r="J39" s="5"/>
      <c r="K39" s="5"/>
    </row>
  </sheetData>
  <sheetProtection sheet="1" objects="1" scenarios="1"/>
  <autoFilter ref="A1:H38" xr:uid="{00000000-0009-0000-0000-000004000000}"/>
  <mergeCells count="3">
    <mergeCell ref="A38:G38"/>
    <mergeCell ref="A39:G39"/>
    <mergeCell ref="A37:G3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ACBF0-A195-412C-B511-D1D39DDC17E8}">
  <sheetPr codeName="Sheet3"/>
  <dimension ref="A1:K35"/>
  <sheetViews>
    <sheetView workbookViewId="0">
      <pane ySplit="1" topLeftCell="A2" activePane="bottomLeft" state="frozen"/>
      <selection pane="bottomLeft" activeCell="F13" sqref="F13"/>
    </sheetView>
  </sheetViews>
  <sheetFormatPr defaultColWidth="9.140625" defaultRowHeight="15"/>
  <cols>
    <col min="1" max="3" width="9.28515625" style="23" customWidth="1"/>
    <col min="4" max="4" width="10.140625" style="23" bestFit="1" customWidth="1"/>
    <col min="5" max="10" width="19.28515625" style="22" customWidth="1"/>
    <col min="11" max="11" width="17.140625" style="22" customWidth="1"/>
    <col min="12" max="16384" width="9.140625" style="18"/>
  </cols>
  <sheetData>
    <row r="1" spans="1:11" ht="45.75" thickBot="1">
      <c r="A1" s="192" t="s">
        <v>189</v>
      </c>
      <c r="B1" s="193" t="s">
        <v>234</v>
      </c>
      <c r="C1" s="193" t="s">
        <v>235</v>
      </c>
      <c r="D1" s="193" t="s">
        <v>236</v>
      </c>
      <c r="E1" s="193" t="s">
        <v>237</v>
      </c>
      <c r="F1" s="194" t="s">
        <v>238</v>
      </c>
      <c r="G1" s="193" t="s">
        <v>239</v>
      </c>
      <c r="H1" s="194" t="s">
        <v>240</v>
      </c>
      <c r="I1" s="193" t="s">
        <v>241</v>
      </c>
      <c r="J1" s="194" t="s">
        <v>242</v>
      </c>
      <c r="K1" s="195" t="s">
        <v>243</v>
      </c>
    </row>
    <row r="2" spans="1:11" ht="21.75" customHeight="1">
      <c r="A2" s="164"/>
      <c r="B2" s="165"/>
      <c r="C2" s="165"/>
      <c r="D2" s="165"/>
      <c r="E2" s="165"/>
      <c r="F2" s="165"/>
      <c r="G2" s="165"/>
      <c r="H2" s="165"/>
      <c r="I2" s="165">
        <v>0</v>
      </c>
      <c r="J2" s="165">
        <v>0</v>
      </c>
      <c r="K2" s="166">
        <f t="shared" ref="K2:K4" si="0">SUM(E2:J2)</f>
        <v>0</v>
      </c>
    </row>
    <row r="3" spans="1:11" ht="21.75" customHeight="1">
      <c r="A3" s="167"/>
      <c r="B3" s="54"/>
      <c r="C3" s="54"/>
      <c r="D3" s="54"/>
      <c r="E3" s="54"/>
      <c r="F3" s="54"/>
      <c r="G3" s="54"/>
      <c r="H3" s="54"/>
      <c r="I3" s="54">
        <v>0</v>
      </c>
      <c r="J3" s="54">
        <v>0</v>
      </c>
      <c r="K3" s="168">
        <f t="shared" ref="K3" si="1">SUM(E3:J3)</f>
        <v>0</v>
      </c>
    </row>
    <row r="4" spans="1:11" ht="21.75" customHeight="1">
      <c r="A4" s="169"/>
      <c r="B4" s="160"/>
      <c r="C4" s="160"/>
      <c r="D4" s="54"/>
      <c r="E4" s="54"/>
      <c r="F4" s="54"/>
      <c r="G4" s="54"/>
      <c r="H4" s="160"/>
      <c r="I4" s="160">
        <v>0</v>
      </c>
      <c r="J4" s="160">
        <v>0</v>
      </c>
      <c r="K4" s="170">
        <f t="shared" si="0"/>
        <v>0</v>
      </c>
    </row>
    <row r="5" spans="1:11" ht="21.75" customHeight="1">
      <c r="A5" s="167"/>
      <c r="B5" s="54"/>
      <c r="C5" s="54"/>
      <c r="D5" s="54"/>
      <c r="E5" s="54"/>
      <c r="F5" s="54"/>
      <c r="G5" s="54"/>
      <c r="H5" s="54"/>
      <c r="I5" s="54">
        <v>0</v>
      </c>
      <c r="J5" s="54">
        <v>0</v>
      </c>
      <c r="K5" s="168">
        <f t="shared" ref="K5" si="2">SUM(E5:J5)</f>
        <v>0</v>
      </c>
    </row>
    <row r="6" spans="1:11" ht="21.75" customHeight="1">
      <c r="A6" s="169"/>
      <c r="B6" s="160"/>
      <c r="C6" s="160"/>
      <c r="D6" s="54"/>
      <c r="E6" s="54"/>
      <c r="F6" s="54"/>
      <c r="G6" s="54"/>
      <c r="H6" s="160"/>
      <c r="I6" s="160">
        <v>0</v>
      </c>
      <c r="J6" s="160">
        <v>0</v>
      </c>
      <c r="K6" s="170">
        <f t="shared" ref="K6:K15" si="3">SUM(E6:J6)</f>
        <v>0</v>
      </c>
    </row>
    <row r="7" spans="1:11" ht="21.75" customHeight="1">
      <c r="A7" s="169"/>
      <c r="B7" s="160"/>
      <c r="C7" s="160"/>
      <c r="D7" s="54"/>
      <c r="E7" s="54"/>
      <c r="F7" s="54"/>
      <c r="G7" s="54"/>
      <c r="H7" s="160"/>
      <c r="I7" s="160">
        <v>0</v>
      </c>
      <c r="J7" s="160">
        <v>0</v>
      </c>
      <c r="K7" s="170">
        <f t="shared" si="3"/>
        <v>0</v>
      </c>
    </row>
    <row r="8" spans="1:11" ht="21.75" customHeight="1">
      <c r="A8" s="169"/>
      <c r="B8" s="186"/>
      <c r="C8" s="186"/>
      <c r="D8" s="54"/>
      <c r="E8" s="54"/>
      <c r="F8" s="54"/>
      <c r="G8" s="54"/>
      <c r="H8" s="160"/>
      <c r="I8" s="160">
        <v>0</v>
      </c>
      <c r="J8" s="160">
        <v>0</v>
      </c>
      <c r="K8" s="170">
        <f t="shared" ref="K8:K12" si="4">SUM(E8:J8)</f>
        <v>0</v>
      </c>
    </row>
    <row r="9" spans="1:11" ht="21.75" customHeight="1">
      <c r="A9" s="169"/>
      <c r="B9" s="186"/>
      <c r="C9" s="186"/>
      <c r="D9" s="54"/>
      <c r="E9" s="54"/>
      <c r="F9" s="54"/>
      <c r="G9" s="160"/>
      <c r="H9" s="186"/>
      <c r="I9" s="160">
        <v>0</v>
      </c>
      <c r="J9" s="160">
        <v>0</v>
      </c>
      <c r="K9" s="170">
        <f t="shared" si="4"/>
        <v>0</v>
      </c>
    </row>
    <row r="10" spans="1:11" ht="21.75" customHeight="1">
      <c r="A10" s="169"/>
      <c r="B10" s="186"/>
      <c r="C10" s="186"/>
      <c r="D10" s="54"/>
      <c r="E10" s="54"/>
      <c r="F10" s="54"/>
      <c r="G10" s="160"/>
      <c r="H10" s="186"/>
      <c r="I10" s="160">
        <v>0</v>
      </c>
      <c r="J10" s="160">
        <v>0</v>
      </c>
      <c r="K10" s="170">
        <f t="shared" ref="K10:K11" si="5">SUM(E10:J10)</f>
        <v>0</v>
      </c>
    </row>
    <row r="11" spans="1:11" ht="21.75" customHeight="1">
      <c r="A11" s="169"/>
      <c r="B11" s="186"/>
      <c r="C11" s="186"/>
      <c r="D11" s="54"/>
      <c r="E11" s="54"/>
      <c r="F11" s="54"/>
      <c r="G11" s="160"/>
      <c r="H11" s="186"/>
      <c r="I11" s="160">
        <v>0</v>
      </c>
      <c r="J11" s="160">
        <v>0</v>
      </c>
      <c r="K11" s="170">
        <f t="shared" si="5"/>
        <v>0</v>
      </c>
    </row>
    <row r="12" spans="1:11" ht="21.75" customHeight="1">
      <c r="A12" s="169"/>
      <c r="B12" s="186"/>
      <c r="C12" s="186"/>
      <c r="D12" s="54"/>
      <c r="E12" s="54"/>
      <c r="F12" s="54"/>
      <c r="G12" s="160"/>
      <c r="H12" s="186"/>
      <c r="I12" s="160">
        <v>0</v>
      </c>
      <c r="J12" s="160">
        <v>0</v>
      </c>
      <c r="K12" s="170">
        <f t="shared" si="4"/>
        <v>0</v>
      </c>
    </row>
    <row r="13" spans="1:11" ht="21.75" customHeight="1">
      <c r="A13" s="169"/>
      <c r="B13" s="186"/>
      <c r="C13" s="186"/>
      <c r="D13" s="54"/>
      <c r="E13" s="54"/>
      <c r="F13" s="54"/>
      <c r="G13" s="160"/>
      <c r="H13" s="186"/>
      <c r="I13" s="160">
        <v>0</v>
      </c>
      <c r="J13" s="160">
        <v>0</v>
      </c>
      <c r="K13" s="170">
        <f t="shared" ref="K13:K14" si="6">SUM(E13:J13)</f>
        <v>0</v>
      </c>
    </row>
    <row r="14" spans="1:11" ht="21.75" customHeight="1">
      <c r="A14" s="169"/>
      <c r="B14" s="186"/>
      <c r="C14" s="186"/>
      <c r="D14" s="54"/>
      <c r="E14" s="54"/>
      <c r="F14" s="54"/>
      <c r="G14" s="160"/>
      <c r="H14" s="186"/>
      <c r="I14" s="160">
        <v>0</v>
      </c>
      <c r="J14" s="160">
        <v>0</v>
      </c>
      <c r="K14" s="170">
        <f t="shared" si="6"/>
        <v>0</v>
      </c>
    </row>
    <row r="15" spans="1:11" ht="21.75" customHeight="1" thickBot="1">
      <c r="A15" s="171"/>
      <c r="B15" s="172"/>
      <c r="C15" s="172"/>
      <c r="D15" s="173"/>
      <c r="E15" s="173"/>
      <c r="F15" s="173"/>
      <c r="G15" s="173"/>
      <c r="H15" s="172"/>
      <c r="I15" s="172">
        <v>0</v>
      </c>
      <c r="J15" s="172">
        <v>0</v>
      </c>
      <c r="K15" s="174">
        <f t="shared" si="3"/>
        <v>0</v>
      </c>
    </row>
    <row r="16" spans="1:11" ht="21.75" customHeight="1">
      <c r="A16" s="164"/>
      <c r="B16" s="165"/>
      <c r="C16" s="165"/>
      <c r="D16" s="165"/>
      <c r="E16" s="165"/>
      <c r="F16" s="165"/>
      <c r="G16" s="165"/>
      <c r="H16" s="175"/>
      <c r="I16" s="175">
        <v>0</v>
      </c>
      <c r="J16" s="175">
        <v>0</v>
      </c>
      <c r="K16" s="166">
        <f t="shared" ref="K16:K27" si="7">SUM(E16:J16)</f>
        <v>0</v>
      </c>
    </row>
    <row r="17" spans="1:11" ht="21.75" customHeight="1">
      <c r="A17" s="177"/>
      <c r="B17" s="178"/>
      <c r="C17" s="178"/>
      <c r="D17" s="178"/>
      <c r="E17" s="54"/>
      <c r="F17" s="54"/>
      <c r="G17" s="54"/>
      <c r="H17" s="160"/>
      <c r="I17" s="160">
        <v>0</v>
      </c>
      <c r="J17" s="160">
        <v>0</v>
      </c>
      <c r="K17" s="168">
        <f t="shared" si="7"/>
        <v>0</v>
      </c>
    </row>
    <row r="18" spans="1:11" ht="21.75" customHeight="1">
      <c r="A18" s="167"/>
      <c r="B18" s="54"/>
      <c r="C18" s="54"/>
      <c r="D18" s="54"/>
      <c r="E18" s="54"/>
      <c r="F18" s="54"/>
      <c r="G18" s="54"/>
      <c r="H18" s="160"/>
      <c r="I18" s="160">
        <v>0</v>
      </c>
      <c r="J18" s="160">
        <v>0</v>
      </c>
      <c r="K18" s="168">
        <f t="shared" ref="K18" si="8">SUM(E18:J18)</f>
        <v>0</v>
      </c>
    </row>
    <row r="19" spans="1:11" ht="21.75" customHeight="1">
      <c r="A19" s="167"/>
      <c r="B19" s="54"/>
      <c r="C19" s="54"/>
      <c r="D19" s="54"/>
      <c r="E19" s="54"/>
      <c r="F19" s="54"/>
      <c r="G19" s="54"/>
      <c r="H19" s="160"/>
      <c r="I19" s="160">
        <v>0</v>
      </c>
      <c r="J19" s="160">
        <v>0</v>
      </c>
      <c r="K19" s="168">
        <f t="shared" ref="K19" si="9">SUM(E19:J19)</f>
        <v>0</v>
      </c>
    </row>
    <row r="20" spans="1:11" ht="21.75" customHeight="1">
      <c r="A20" s="167"/>
      <c r="B20" s="54"/>
      <c r="C20" s="54"/>
      <c r="D20" s="178"/>
      <c r="E20" s="54"/>
      <c r="F20" s="54"/>
      <c r="G20" s="54"/>
      <c r="H20" s="160"/>
      <c r="I20" s="160">
        <v>0</v>
      </c>
      <c r="J20" s="160">
        <v>0</v>
      </c>
      <c r="K20" s="168">
        <f t="shared" ref="K20:K21" si="10">SUM(E20:J20)</f>
        <v>0</v>
      </c>
    </row>
    <row r="21" spans="1:11" ht="21.75" customHeight="1">
      <c r="A21" s="167"/>
      <c r="B21" s="54"/>
      <c r="C21" s="54"/>
      <c r="D21" s="54"/>
      <c r="E21" s="54"/>
      <c r="F21" s="54"/>
      <c r="G21" s="54"/>
      <c r="H21" s="160"/>
      <c r="I21" s="160">
        <v>0</v>
      </c>
      <c r="J21" s="160">
        <v>0</v>
      </c>
      <c r="K21" s="168">
        <f t="shared" si="10"/>
        <v>0</v>
      </c>
    </row>
    <row r="22" spans="1:11" ht="21.75" customHeight="1">
      <c r="A22" s="167"/>
      <c r="B22" s="54"/>
      <c r="C22" s="54"/>
      <c r="D22" s="54"/>
      <c r="E22" s="54"/>
      <c r="F22" s="54"/>
      <c r="G22" s="54"/>
      <c r="H22" s="160"/>
      <c r="I22" s="160">
        <v>0</v>
      </c>
      <c r="J22" s="160">
        <v>0</v>
      </c>
      <c r="K22" s="168">
        <f t="shared" ref="K22:K26" si="11">SUM(E22:J22)</f>
        <v>0</v>
      </c>
    </row>
    <row r="23" spans="1:11" ht="21.75" customHeight="1">
      <c r="A23" s="167"/>
      <c r="B23" s="54"/>
      <c r="C23" s="54"/>
      <c r="D23" s="54"/>
      <c r="E23" s="54"/>
      <c r="F23" s="54"/>
      <c r="G23" s="54"/>
      <c r="H23" s="160"/>
      <c r="I23" s="160">
        <v>0</v>
      </c>
      <c r="J23" s="160">
        <v>0</v>
      </c>
      <c r="K23" s="168">
        <f t="shared" si="11"/>
        <v>0</v>
      </c>
    </row>
    <row r="24" spans="1:11" ht="21.75" customHeight="1">
      <c r="A24" s="167"/>
      <c r="B24" s="179"/>
      <c r="C24" s="179"/>
      <c r="D24" s="54"/>
      <c r="E24" s="160"/>
      <c r="F24" s="160"/>
      <c r="G24" s="179"/>
      <c r="H24" s="186"/>
      <c r="I24" s="160">
        <v>0</v>
      </c>
      <c r="J24" s="160">
        <v>0</v>
      </c>
      <c r="K24" s="168">
        <f t="shared" si="11"/>
        <v>0</v>
      </c>
    </row>
    <row r="25" spans="1:11" ht="21.75" customHeight="1">
      <c r="A25" s="167"/>
      <c r="B25" s="179"/>
      <c r="C25" s="179"/>
      <c r="D25" s="54"/>
      <c r="E25" s="160"/>
      <c r="F25" s="160"/>
      <c r="G25" s="160"/>
      <c r="H25" s="160"/>
      <c r="I25" s="160">
        <v>0</v>
      </c>
      <c r="J25" s="160">
        <v>0</v>
      </c>
      <c r="K25" s="168">
        <f t="shared" si="11"/>
        <v>0</v>
      </c>
    </row>
    <row r="26" spans="1:11" ht="21.75" customHeight="1">
      <c r="A26" s="167"/>
      <c r="B26" s="179"/>
      <c r="C26" s="179"/>
      <c r="D26" s="54"/>
      <c r="E26" s="160"/>
      <c r="F26" s="160"/>
      <c r="G26" s="160"/>
      <c r="H26" s="160"/>
      <c r="I26" s="160">
        <v>0</v>
      </c>
      <c r="J26" s="160">
        <v>0</v>
      </c>
      <c r="K26" s="168">
        <f t="shared" si="11"/>
        <v>0</v>
      </c>
    </row>
    <row r="27" spans="1:11" ht="21.75" customHeight="1" thickBot="1">
      <c r="A27" s="176"/>
      <c r="B27" s="173"/>
      <c r="C27" s="173"/>
      <c r="D27" s="173"/>
      <c r="E27" s="173"/>
      <c r="F27" s="173"/>
      <c r="G27" s="173"/>
      <c r="H27" s="172"/>
      <c r="I27" s="172">
        <v>0</v>
      </c>
      <c r="J27" s="172">
        <v>0</v>
      </c>
      <c r="K27" s="174">
        <f t="shared" si="7"/>
        <v>0</v>
      </c>
    </row>
    <row r="28" spans="1:11" ht="21.75" customHeight="1" thickBot="1">
      <c r="A28" s="202" t="s">
        <v>243</v>
      </c>
      <c r="B28" s="203"/>
      <c r="C28" s="203"/>
      <c r="D28" s="203"/>
      <c r="E28" s="148">
        <f t="shared" ref="E28:K28" si="12">SUM(E2:E27)</f>
        <v>0</v>
      </c>
      <c r="F28" s="148">
        <f t="shared" si="12"/>
        <v>0</v>
      </c>
      <c r="G28" s="148">
        <f t="shared" si="12"/>
        <v>0</v>
      </c>
      <c r="H28" s="148">
        <f t="shared" si="12"/>
        <v>0</v>
      </c>
      <c r="I28" s="148">
        <f t="shared" si="12"/>
        <v>0</v>
      </c>
      <c r="J28" s="148">
        <f t="shared" si="12"/>
        <v>0</v>
      </c>
      <c r="K28" s="147">
        <f t="shared" si="12"/>
        <v>0</v>
      </c>
    </row>
    <row r="29" spans="1:11">
      <c r="E29" s="18"/>
      <c r="F29" s="18"/>
      <c r="G29" s="18"/>
      <c r="H29" s="18"/>
      <c r="I29" s="18"/>
      <c r="J29" s="18"/>
      <c r="K29" s="18"/>
    </row>
    <row r="30" spans="1:11">
      <c r="E30" s="18"/>
      <c r="F30" s="18"/>
      <c r="G30" s="18"/>
      <c r="H30" s="18"/>
      <c r="I30" s="18"/>
      <c r="J30" s="18"/>
      <c r="K30" s="18"/>
    </row>
    <row r="31" spans="1:11">
      <c r="E31" s="18"/>
      <c r="F31" s="18"/>
      <c r="G31" s="18"/>
      <c r="H31" s="18"/>
      <c r="I31" s="18"/>
      <c r="J31" s="18"/>
      <c r="K31" s="18"/>
    </row>
    <row r="32" spans="1:11">
      <c r="E32" s="18"/>
      <c r="F32" s="18"/>
      <c r="G32" s="18"/>
      <c r="H32" s="18"/>
      <c r="I32" s="18"/>
      <c r="J32" s="18"/>
      <c r="K32" s="18"/>
    </row>
    <row r="33" spans="5:11">
      <c r="E33" s="18"/>
      <c r="F33" s="18"/>
      <c r="G33" s="18"/>
      <c r="H33" s="18"/>
      <c r="I33" s="18"/>
      <c r="J33" s="18"/>
      <c r="K33" s="18"/>
    </row>
    <row r="34" spans="5:11">
      <c r="E34" s="18"/>
      <c r="F34" s="18"/>
      <c r="G34" s="18"/>
      <c r="H34" s="18"/>
      <c r="I34" s="18"/>
      <c r="J34" s="18"/>
      <c r="K34" s="18"/>
    </row>
    <row r="35" spans="5:11">
      <c r="E35" s="18"/>
      <c r="F35" s="18"/>
      <c r="G35" s="18"/>
      <c r="H35" s="18"/>
      <c r="I35" s="18"/>
      <c r="J35" s="18"/>
      <c r="K35" s="18"/>
    </row>
  </sheetData>
  <autoFilter ref="A1:K28" xr:uid="{A5610833-278B-4AE7-866F-E561E85DE7D7}"/>
  <mergeCells count="1">
    <mergeCell ref="A28:D28"/>
  </mergeCells>
  <phoneticPr fontId="4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B725-DC9D-409D-8040-30B3F3C88234}">
  <sheetPr codeName="Sheet5"/>
  <dimension ref="A1:J182"/>
  <sheetViews>
    <sheetView zoomScaleNormal="100" workbookViewId="0">
      <pane ySplit="1" topLeftCell="A150" activePane="bottomLeft" state="frozen"/>
      <selection pane="bottomLeft" activeCell="H181" sqref="H181"/>
    </sheetView>
  </sheetViews>
  <sheetFormatPr defaultColWidth="9.140625" defaultRowHeight="15"/>
  <cols>
    <col min="1" max="1" width="7" style="134" customWidth="1"/>
    <col min="2" max="2" width="39" style="134" customWidth="1"/>
    <col min="3" max="3" width="19" style="135" bestFit="1" customWidth="1"/>
    <col min="4" max="9" width="20.28515625" style="134" customWidth="1"/>
    <col min="10" max="10" width="10.85546875" style="136" bestFit="1" customWidth="1"/>
    <col min="11" max="16384" width="9.140625" style="47"/>
  </cols>
  <sheetData>
    <row r="1" spans="1:10" ht="45.75" thickBot="1">
      <c r="A1" s="150" t="s">
        <v>189</v>
      </c>
      <c r="B1" s="152" t="s">
        <v>244</v>
      </c>
      <c r="C1" s="151" t="s">
        <v>53</v>
      </c>
      <c r="D1" s="152" t="s">
        <v>245</v>
      </c>
      <c r="E1" s="152" t="s">
        <v>246</v>
      </c>
      <c r="F1" s="152" t="s">
        <v>247</v>
      </c>
      <c r="G1" s="152" t="s">
        <v>248</v>
      </c>
      <c r="H1" s="152" t="s">
        <v>249</v>
      </c>
      <c r="I1" s="152" t="s">
        <v>250</v>
      </c>
      <c r="J1" s="153" t="s">
        <v>243</v>
      </c>
    </row>
    <row r="2" spans="1:10">
      <c r="A2" s="187"/>
      <c r="B2" s="185"/>
      <c r="C2" s="154"/>
      <c r="D2" s="155">
        <v>0</v>
      </c>
      <c r="E2" s="155">
        <v>0</v>
      </c>
      <c r="F2" s="155">
        <v>0</v>
      </c>
      <c r="G2" s="155">
        <v>0</v>
      </c>
      <c r="H2" s="155">
        <v>0</v>
      </c>
      <c r="I2" s="155">
        <v>0</v>
      </c>
      <c r="J2" s="156">
        <f>SUM(D2:I2)</f>
        <v>0</v>
      </c>
    </row>
    <row r="3" spans="1:10">
      <c r="A3" s="188"/>
      <c r="B3" s="190"/>
      <c r="C3" s="149"/>
      <c r="D3" s="133">
        <v>0</v>
      </c>
      <c r="E3" s="133">
        <v>0</v>
      </c>
      <c r="F3" s="133">
        <v>0</v>
      </c>
      <c r="G3" s="133">
        <v>0</v>
      </c>
      <c r="H3" s="133">
        <v>0</v>
      </c>
      <c r="I3" s="133">
        <v>0</v>
      </c>
      <c r="J3" s="157">
        <f t="shared" ref="J3:J39" si="0">SUM(D3:I3)</f>
        <v>0</v>
      </c>
    </row>
    <row r="4" spans="1:10">
      <c r="A4" s="188"/>
      <c r="B4" s="190"/>
      <c r="C4" s="149"/>
      <c r="D4" s="133">
        <v>0</v>
      </c>
      <c r="E4" s="133">
        <v>0</v>
      </c>
      <c r="F4" s="133">
        <v>0</v>
      </c>
      <c r="G4" s="133">
        <v>0</v>
      </c>
      <c r="H4" s="133">
        <v>0</v>
      </c>
      <c r="I4" s="133">
        <v>0</v>
      </c>
      <c r="J4" s="157">
        <f t="shared" si="0"/>
        <v>0</v>
      </c>
    </row>
    <row r="5" spans="1:10">
      <c r="A5" s="188"/>
      <c r="B5" s="190"/>
      <c r="C5" s="149"/>
      <c r="D5" s="133">
        <v>0</v>
      </c>
      <c r="E5" s="133">
        <v>0</v>
      </c>
      <c r="F5" s="133">
        <v>0</v>
      </c>
      <c r="G5" s="133">
        <v>0</v>
      </c>
      <c r="H5" s="133">
        <v>0</v>
      </c>
      <c r="I5" s="133">
        <v>0</v>
      </c>
      <c r="J5" s="157">
        <f t="shared" si="0"/>
        <v>0</v>
      </c>
    </row>
    <row r="6" spans="1:10">
      <c r="A6" s="188"/>
      <c r="B6" s="190"/>
      <c r="C6" s="149"/>
      <c r="D6" s="133">
        <v>0</v>
      </c>
      <c r="E6" s="133">
        <v>0</v>
      </c>
      <c r="F6" s="133">
        <v>0</v>
      </c>
      <c r="G6" s="133">
        <v>0</v>
      </c>
      <c r="H6" s="133">
        <v>0</v>
      </c>
      <c r="I6" s="133">
        <v>0</v>
      </c>
      <c r="J6" s="157">
        <f t="shared" si="0"/>
        <v>0</v>
      </c>
    </row>
    <row r="7" spans="1:10">
      <c r="A7" s="188"/>
      <c r="B7" s="190"/>
      <c r="C7" s="149"/>
      <c r="D7" s="133">
        <v>0</v>
      </c>
      <c r="E7" s="133">
        <v>0</v>
      </c>
      <c r="F7" s="133">
        <v>0</v>
      </c>
      <c r="G7" s="133">
        <v>0</v>
      </c>
      <c r="H7" s="133">
        <v>0</v>
      </c>
      <c r="I7" s="133">
        <v>0</v>
      </c>
      <c r="J7" s="157">
        <f t="shared" si="0"/>
        <v>0</v>
      </c>
    </row>
    <row r="8" spans="1:10">
      <c r="A8" s="188"/>
      <c r="B8" s="190"/>
      <c r="C8" s="149"/>
      <c r="D8" s="133">
        <v>0</v>
      </c>
      <c r="E8" s="133">
        <v>0</v>
      </c>
      <c r="F8" s="133">
        <v>0</v>
      </c>
      <c r="G8" s="133">
        <v>0</v>
      </c>
      <c r="H8" s="133">
        <v>0</v>
      </c>
      <c r="I8" s="133">
        <v>0</v>
      </c>
      <c r="J8" s="157">
        <f t="shared" si="0"/>
        <v>0</v>
      </c>
    </row>
    <row r="9" spans="1:10">
      <c r="A9" s="188"/>
      <c r="B9" s="190"/>
      <c r="C9" s="149"/>
      <c r="D9" s="133">
        <v>0</v>
      </c>
      <c r="E9" s="133">
        <v>0</v>
      </c>
      <c r="F9" s="133">
        <v>0</v>
      </c>
      <c r="G9" s="133">
        <v>0</v>
      </c>
      <c r="H9" s="133">
        <v>0</v>
      </c>
      <c r="I9" s="133">
        <v>0</v>
      </c>
      <c r="J9" s="157">
        <f t="shared" si="0"/>
        <v>0</v>
      </c>
    </row>
    <row r="10" spans="1:10">
      <c r="A10" s="188"/>
      <c r="B10" s="190"/>
      <c r="C10" s="149"/>
      <c r="D10" s="133">
        <v>0</v>
      </c>
      <c r="E10" s="133">
        <v>0</v>
      </c>
      <c r="F10" s="133">
        <v>0</v>
      </c>
      <c r="G10" s="133">
        <v>0</v>
      </c>
      <c r="H10" s="133">
        <v>0</v>
      </c>
      <c r="I10" s="133">
        <v>0</v>
      </c>
      <c r="J10" s="157">
        <f t="shared" si="0"/>
        <v>0</v>
      </c>
    </row>
    <row r="11" spans="1:10">
      <c r="A11" s="188"/>
      <c r="B11" s="190"/>
      <c r="C11" s="149"/>
      <c r="D11" s="133">
        <v>0</v>
      </c>
      <c r="E11" s="133">
        <v>0</v>
      </c>
      <c r="F11" s="133">
        <v>0</v>
      </c>
      <c r="G11" s="133">
        <v>0</v>
      </c>
      <c r="H11" s="133">
        <v>0</v>
      </c>
      <c r="I11" s="133">
        <v>0</v>
      </c>
      <c r="J11" s="157">
        <f t="shared" si="0"/>
        <v>0</v>
      </c>
    </row>
    <row r="12" spans="1:10">
      <c r="A12" s="188"/>
      <c r="B12" s="182"/>
      <c r="C12" s="149"/>
      <c r="D12" s="133">
        <v>0</v>
      </c>
      <c r="E12" s="133">
        <v>0</v>
      </c>
      <c r="F12" s="133">
        <v>0</v>
      </c>
      <c r="G12" s="133">
        <v>0</v>
      </c>
      <c r="H12" s="133">
        <v>0</v>
      </c>
      <c r="I12" s="133">
        <v>0</v>
      </c>
      <c r="J12" s="157">
        <f t="shared" ref="J12:J20" si="1">SUM(D12:I12)</f>
        <v>0</v>
      </c>
    </row>
    <row r="13" spans="1:10">
      <c r="A13" s="188"/>
      <c r="B13" s="182"/>
      <c r="C13" s="149"/>
      <c r="D13" s="133">
        <v>0</v>
      </c>
      <c r="E13" s="133">
        <v>0</v>
      </c>
      <c r="F13" s="133">
        <v>0</v>
      </c>
      <c r="G13" s="133">
        <v>0</v>
      </c>
      <c r="H13" s="133">
        <v>0</v>
      </c>
      <c r="I13" s="133">
        <v>0</v>
      </c>
      <c r="J13" s="157">
        <f t="shared" si="1"/>
        <v>0</v>
      </c>
    </row>
    <row r="14" spans="1:10">
      <c r="A14" s="188"/>
      <c r="B14" s="182"/>
      <c r="C14" s="149"/>
      <c r="D14" s="133">
        <v>0</v>
      </c>
      <c r="E14" s="133">
        <v>0</v>
      </c>
      <c r="F14" s="133">
        <v>0</v>
      </c>
      <c r="G14" s="133">
        <v>0</v>
      </c>
      <c r="H14" s="133">
        <v>0</v>
      </c>
      <c r="I14" s="133">
        <v>0</v>
      </c>
      <c r="J14" s="157">
        <f t="shared" si="1"/>
        <v>0</v>
      </c>
    </row>
    <row r="15" spans="1:10">
      <c r="A15" s="188"/>
      <c r="B15" s="182"/>
      <c r="C15" s="149"/>
      <c r="D15" s="133">
        <v>0</v>
      </c>
      <c r="E15" s="133">
        <v>0</v>
      </c>
      <c r="F15" s="133">
        <v>0</v>
      </c>
      <c r="G15" s="133">
        <v>0</v>
      </c>
      <c r="H15" s="133">
        <v>0</v>
      </c>
      <c r="I15" s="133">
        <v>0</v>
      </c>
      <c r="J15" s="157">
        <f t="shared" si="1"/>
        <v>0</v>
      </c>
    </row>
    <row r="16" spans="1:10">
      <c r="A16" s="188"/>
      <c r="B16" s="182"/>
      <c r="C16" s="149"/>
      <c r="D16" s="133">
        <v>0</v>
      </c>
      <c r="E16" s="133">
        <v>0</v>
      </c>
      <c r="F16" s="133">
        <v>0</v>
      </c>
      <c r="G16" s="133">
        <v>0</v>
      </c>
      <c r="H16" s="133">
        <v>0</v>
      </c>
      <c r="I16" s="133">
        <v>0</v>
      </c>
      <c r="J16" s="157">
        <f t="shared" si="1"/>
        <v>0</v>
      </c>
    </row>
    <row r="17" spans="1:10">
      <c r="A17" s="188"/>
      <c r="B17" s="182"/>
      <c r="C17" s="149"/>
      <c r="D17" s="133">
        <v>0</v>
      </c>
      <c r="E17" s="133">
        <v>0</v>
      </c>
      <c r="F17" s="133">
        <v>0</v>
      </c>
      <c r="G17" s="133">
        <v>0</v>
      </c>
      <c r="H17" s="133">
        <v>0</v>
      </c>
      <c r="I17" s="133">
        <v>0</v>
      </c>
      <c r="J17" s="157">
        <f t="shared" si="1"/>
        <v>0</v>
      </c>
    </row>
    <row r="18" spans="1:10">
      <c r="A18" s="188"/>
      <c r="B18" s="182"/>
      <c r="C18" s="149"/>
      <c r="D18" s="133">
        <v>0</v>
      </c>
      <c r="E18" s="133">
        <v>0</v>
      </c>
      <c r="F18" s="133">
        <v>0</v>
      </c>
      <c r="G18" s="133">
        <v>0</v>
      </c>
      <c r="H18" s="133">
        <v>0</v>
      </c>
      <c r="I18" s="133">
        <v>0</v>
      </c>
      <c r="J18" s="157">
        <f t="shared" si="1"/>
        <v>0</v>
      </c>
    </row>
    <row r="19" spans="1:10">
      <c r="A19" s="188"/>
      <c r="B19" s="182"/>
      <c r="C19" s="149"/>
      <c r="D19" s="133">
        <v>0</v>
      </c>
      <c r="E19" s="133">
        <v>0</v>
      </c>
      <c r="F19" s="133">
        <v>0</v>
      </c>
      <c r="G19" s="133">
        <v>0</v>
      </c>
      <c r="H19" s="133">
        <v>0</v>
      </c>
      <c r="I19" s="133">
        <v>0</v>
      </c>
      <c r="J19" s="157">
        <f t="shared" si="1"/>
        <v>0</v>
      </c>
    </row>
    <row r="20" spans="1:10">
      <c r="A20" s="188"/>
      <c r="B20" s="182"/>
      <c r="C20" s="149"/>
      <c r="D20" s="133">
        <v>0</v>
      </c>
      <c r="E20" s="133">
        <v>0</v>
      </c>
      <c r="F20" s="133">
        <v>0</v>
      </c>
      <c r="G20" s="133">
        <v>0</v>
      </c>
      <c r="H20" s="133">
        <v>0</v>
      </c>
      <c r="I20" s="133">
        <v>0</v>
      </c>
      <c r="J20" s="157">
        <f t="shared" si="1"/>
        <v>0</v>
      </c>
    </row>
    <row r="21" spans="1:10">
      <c r="A21" s="188"/>
      <c r="B21" s="190"/>
      <c r="C21" s="149"/>
      <c r="D21" s="133">
        <v>0</v>
      </c>
      <c r="E21" s="133">
        <v>0</v>
      </c>
      <c r="F21" s="133">
        <v>0</v>
      </c>
      <c r="G21" s="133">
        <v>0</v>
      </c>
      <c r="H21" s="133">
        <v>0</v>
      </c>
      <c r="I21" s="133">
        <v>0</v>
      </c>
      <c r="J21" s="157">
        <f t="shared" si="0"/>
        <v>0</v>
      </c>
    </row>
    <row r="22" spans="1:10">
      <c r="A22" s="188"/>
      <c r="B22" s="190"/>
      <c r="C22" s="149"/>
      <c r="D22" s="133">
        <v>0</v>
      </c>
      <c r="E22" s="133">
        <v>0</v>
      </c>
      <c r="F22" s="133">
        <v>0</v>
      </c>
      <c r="G22" s="133">
        <v>0</v>
      </c>
      <c r="H22" s="133">
        <v>0</v>
      </c>
      <c r="I22" s="133">
        <v>0</v>
      </c>
      <c r="J22" s="157">
        <f t="shared" si="0"/>
        <v>0</v>
      </c>
    </row>
    <row r="23" spans="1:10">
      <c r="A23" s="188"/>
      <c r="B23" s="190"/>
      <c r="C23" s="149"/>
      <c r="D23" s="133">
        <v>0</v>
      </c>
      <c r="E23" s="133">
        <v>0</v>
      </c>
      <c r="F23" s="133">
        <v>0</v>
      </c>
      <c r="G23" s="133">
        <v>0</v>
      </c>
      <c r="H23" s="133">
        <v>0</v>
      </c>
      <c r="I23" s="133">
        <v>0</v>
      </c>
      <c r="J23" s="157">
        <f t="shared" si="0"/>
        <v>0</v>
      </c>
    </row>
    <row r="24" spans="1:10">
      <c r="A24" s="188"/>
      <c r="B24" s="190"/>
      <c r="C24" s="149"/>
      <c r="D24" s="133">
        <v>0</v>
      </c>
      <c r="E24" s="133">
        <v>0</v>
      </c>
      <c r="F24" s="133">
        <v>0</v>
      </c>
      <c r="G24" s="133">
        <v>0</v>
      </c>
      <c r="H24" s="133">
        <v>0</v>
      </c>
      <c r="I24" s="133">
        <v>0</v>
      </c>
      <c r="J24" s="157">
        <f t="shared" si="0"/>
        <v>0</v>
      </c>
    </row>
    <row r="25" spans="1:10">
      <c r="A25" s="188"/>
      <c r="B25" s="190"/>
      <c r="C25" s="149"/>
      <c r="D25" s="133">
        <v>0</v>
      </c>
      <c r="E25" s="133">
        <v>0</v>
      </c>
      <c r="F25" s="133">
        <v>0</v>
      </c>
      <c r="G25" s="133">
        <v>0</v>
      </c>
      <c r="H25" s="133">
        <v>0</v>
      </c>
      <c r="I25" s="133">
        <v>0</v>
      </c>
      <c r="J25" s="157">
        <f t="shared" si="0"/>
        <v>0</v>
      </c>
    </row>
    <row r="26" spans="1:10">
      <c r="A26" s="188"/>
      <c r="B26" s="190"/>
      <c r="C26" s="149"/>
      <c r="D26" s="133">
        <v>0</v>
      </c>
      <c r="E26" s="133">
        <v>0</v>
      </c>
      <c r="F26" s="133">
        <v>0</v>
      </c>
      <c r="G26" s="133">
        <v>0</v>
      </c>
      <c r="H26" s="133">
        <v>0</v>
      </c>
      <c r="I26" s="133">
        <v>0</v>
      </c>
      <c r="J26" s="157">
        <f t="shared" si="0"/>
        <v>0</v>
      </c>
    </row>
    <row r="27" spans="1:10">
      <c r="A27" s="188"/>
      <c r="B27" s="190"/>
      <c r="C27" s="149"/>
      <c r="D27" s="133">
        <v>0</v>
      </c>
      <c r="E27" s="133">
        <v>0</v>
      </c>
      <c r="F27" s="133">
        <v>0</v>
      </c>
      <c r="G27" s="133">
        <v>0</v>
      </c>
      <c r="H27" s="133">
        <v>0</v>
      </c>
      <c r="I27" s="133">
        <v>0</v>
      </c>
      <c r="J27" s="157">
        <f t="shared" si="0"/>
        <v>0</v>
      </c>
    </row>
    <row r="28" spans="1:10">
      <c r="A28" s="188"/>
      <c r="B28" s="190"/>
      <c r="C28" s="149"/>
      <c r="D28" s="133">
        <v>0</v>
      </c>
      <c r="E28" s="133">
        <v>0</v>
      </c>
      <c r="F28" s="133">
        <v>0</v>
      </c>
      <c r="G28" s="133">
        <v>0</v>
      </c>
      <c r="H28" s="133">
        <v>0</v>
      </c>
      <c r="I28" s="133">
        <v>0</v>
      </c>
      <c r="J28" s="157">
        <f t="shared" si="0"/>
        <v>0</v>
      </c>
    </row>
    <row r="29" spans="1:10">
      <c r="A29" s="188"/>
      <c r="B29" s="190"/>
      <c r="C29" s="149"/>
      <c r="D29" s="133">
        <v>0</v>
      </c>
      <c r="E29" s="133">
        <v>0</v>
      </c>
      <c r="F29" s="133">
        <v>0</v>
      </c>
      <c r="G29" s="133">
        <v>0</v>
      </c>
      <c r="H29" s="133">
        <v>0</v>
      </c>
      <c r="I29" s="133">
        <v>0</v>
      </c>
      <c r="J29" s="157">
        <f t="shared" si="0"/>
        <v>0</v>
      </c>
    </row>
    <row r="30" spans="1:10">
      <c r="A30" s="188"/>
      <c r="B30" s="190"/>
      <c r="C30" s="149"/>
      <c r="D30" s="133">
        <v>0</v>
      </c>
      <c r="E30" s="133">
        <v>0</v>
      </c>
      <c r="F30" s="133">
        <v>0</v>
      </c>
      <c r="G30" s="133">
        <v>0</v>
      </c>
      <c r="H30" s="133">
        <v>0</v>
      </c>
      <c r="I30" s="133">
        <v>0</v>
      </c>
      <c r="J30" s="157">
        <f t="shared" si="0"/>
        <v>0</v>
      </c>
    </row>
    <row r="31" spans="1:10">
      <c r="A31" s="188"/>
      <c r="B31" s="190"/>
      <c r="C31" s="149"/>
      <c r="D31" s="133">
        <v>0</v>
      </c>
      <c r="E31" s="133">
        <v>0</v>
      </c>
      <c r="F31" s="133">
        <v>0</v>
      </c>
      <c r="G31" s="133">
        <v>0</v>
      </c>
      <c r="H31" s="133">
        <v>0</v>
      </c>
      <c r="I31" s="133">
        <v>0</v>
      </c>
      <c r="J31" s="157">
        <f t="shared" si="0"/>
        <v>0</v>
      </c>
    </row>
    <row r="32" spans="1:10">
      <c r="A32" s="188"/>
      <c r="B32" s="190"/>
      <c r="C32" s="149"/>
      <c r="D32" s="133">
        <v>0</v>
      </c>
      <c r="E32" s="133">
        <v>0</v>
      </c>
      <c r="F32" s="133">
        <v>0</v>
      </c>
      <c r="G32" s="133">
        <v>0</v>
      </c>
      <c r="H32" s="133">
        <v>0</v>
      </c>
      <c r="I32" s="133">
        <v>0</v>
      </c>
      <c r="J32" s="157">
        <f t="shared" si="0"/>
        <v>0</v>
      </c>
    </row>
    <row r="33" spans="1:10">
      <c r="A33" s="188"/>
      <c r="B33" s="190"/>
      <c r="C33" s="149"/>
      <c r="D33" s="133">
        <v>0</v>
      </c>
      <c r="E33" s="133">
        <v>0</v>
      </c>
      <c r="F33" s="133">
        <v>0</v>
      </c>
      <c r="G33" s="133">
        <v>0</v>
      </c>
      <c r="H33" s="133">
        <v>0</v>
      </c>
      <c r="I33" s="133">
        <v>0</v>
      </c>
      <c r="J33" s="157">
        <f t="shared" si="0"/>
        <v>0</v>
      </c>
    </row>
    <row r="34" spans="1:10">
      <c r="A34" s="188"/>
      <c r="B34" s="190"/>
      <c r="C34" s="149"/>
      <c r="D34" s="133">
        <v>0</v>
      </c>
      <c r="E34" s="133">
        <v>0</v>
      </c>
      <c r="F34" s="133">
        <v>0</v>
      </c>
      <c r="G34" s="133">
        <v>0</v>
      </c>
      <c r="H34" s="133">
        <v>0</v>
      </c>
      <c r="I34" s="133">
        <v>0</v>
      </c>
      <c r="J34" s="157">
        <f t="shared" si="0"/>
        <v>0</v>
      </c>
    </row>
    <row r="35" spans="1:10">
      <c r="A35" s="188"/>
      <c r="B35" s="190"/>
      <c r="C35" s="149"/>
      <c r="D35" s="133">
        <v>0</v>
      </c>
      <c r="E35" s="133">
        <v>0</v>
      </c>
      <c r="F35" s="133">
        <v>0</v>
      </c>
      <c r="G35" s="133">
        <v>0</v>
      </c>
      <c r="H35" s="133">
        <v>0</v>
      </c>
      <c r="I35" s="133">
        <v>0</v>
      </c>
      <c r="J35" s="157">
        <f t="shared" si="0"/>
        <v>0</v>
      </c>
    </row>
    <row r="36" spans="1:10">
      <c r="A36" s="188"/>
      <c r="B36" s="190"/>
      <c r="C36" s="149"/>
      <c r="D36" s="133">
        <v>0</v>
      </c>
      <c r="E36" s="133">
        <v>0</v>
      </c>
      <c r="F36" s="133">
        <v>0</v>
      </c>
      <c r="G36" s="133">
        <v>0</v>
      </c>
      <c r="H36" s="133">
        <v>0</v>
      </c>
      <c r="I36" s="133">
        <v>0</v>
      </c>
      <c r="J36" s="157">
        <f t="shared" si="0"/>
        <v>0</v>
      </c>
    </row>
    <row r="37" spans="1:10">
      <c r="A37" s="188"/>
      <c r="B37" s="190"/>
      <c r="C37" s="149"/>
      <c r="D37" s="133">
        <v>0</v>
      </c>
      <c r="E37" s="133">
        <v>0</v>
      </c>
      <c r="F37" s="133">
        <v>0</v>
      </c>
      <c r="G37" s="133">
        <v>0</v>
      </c>
      <c r="H37" s="133">
        <v>0</v>
      </c>
      <c r="I37" s="133">
        <v>0</v>
      </c>
      <c r="J37" s="157">
        <f t="shared" si="0"/>
        <v>0</v>
      </c>
    </row>
    <row r="38" spans="1:10">
      <c r="A38" s="188"/>
      <c r="B38" s="190"/>
      <c r="C38" s="149"/>
      <c r="D38" s="133">
        <v>0</v>
      </c>
      <c r="E38" s="133">
        <v>0</v>
      </c>
      <c r="F38" s="133">
        <v>0</v>
      </c>
      <c r="G38" s="133">
        <v>0</v>
      </c>
      <c r="H38" s="133">
        <v>0</v>
      </c>
      <c r="I38" s="133">
        <v>0</v>
      </c>
      <c r="J38" s="157">
        <f t="shared" si="0"/>
        <v>0</v>
      </c>
    </row>
    <row r="39" spans="1:10">
      <c r="A39" s="188"/>
      <c r="B39" s="190"/>
      <c r="C39" s="149"/>
      <c r="D39" s="133">
        <v>0</v>
      </c>
      <c r="E39" s="133">
        <v>0</v>
      </c>
      <c r="F39" s="133">
        <v>0</v>
      </c>
      <c r="G39" s="133">
        <v>0</v>
      </c>
      <c r="H39" s="133">
        <v>0</v>
      </c>
      <c r="I39" s="133">
        <v>0</v>
      </c>
      <c r="J39" s="157">
        <f t="shared" si="0"/>
        <v>0</v>
      </c>
    </row>
    <row r="40" spans="1:10">
      <c r="A40" s="188"/>
      <c r="B40" s="190"/>
      <c r="C40" s="149"/>
      <c r="D40" s="133">
        <v>0</v>
      </c>
      <c r="E40" s="133">
        <v>0</v>
      </c>
      <c r="F40" s="133">
        <v>0</v>
      </c>
      <c r="G40" s="133">
        <v>0</v>
      </c>
      <c r="H40" s="133">
        <v>0</v>
      </c>
      <c r="I40" s="133">
        <v>0</v>
      </c>
      <c r="J40" s="157">
        <f>SUM(D40:I40)</f>
        <v>0</v>
      </c>
    </row>
    <row r="41" spans="1:10">
      <c r="A41" s="188"/>
      <c r="B41" s="190"/>
      <c r="C41" s="149"/>
      <c r="D41" s="133">
        <v>0</v>
      </c>
      <c r="E41" s="133">
        <v>0</v>
      </c>
      <c r="F41" s="133">
        <v>0</v>
      </c>
      <c r="G41" s="133">
        <v>0</v>
      </c>
      <c r="H41" s="133">
        <v>0</v>
      </c>
      <c r="I41" s="133">
        <v>0</v>
      </c>
      <c r="J41" s="157">
        <f>SUM(D41:I41)</f>
        <v>0</v>
      </c>
    </row>
    <row r="42" spans="1:10">
      <c r="A42" s="188"/>
      <c r="B42" s="190"/>
      <c r="C42" s="149"/>
      <c r="D42" s="133">
        <v>0</v>
      </c>
      <c r="E42" s="133">
        <v>0</v>
      </c>
      <c r="F42" s="133">
        <v>0</v>
      </c>
      <c r="G42" s="133">
        <v>0</v>
      </c>
      <c r="H42" s="133">
        <v>0</v>
      </c>
      <c r="I42" s="133">
        <v>0</v>
      </c>
      <c r="J42" s="157">
        <f t="shared" ref="J42:J66" si="2">SUM(D42:I42)</f>
        <v>0</v>
      </c>
    </row>
    <row r="43" spans="1:10">
      <c r="A43" s="188"/>
      <c r="B43" s="190"/>
      <c r="C43" s="149"/>
      <c r="D43" s="133">
        <v>0</v>
      </c>
      <c r="E43" s="133">
        <v>0</v>
      </c>
      <c r="F43" s="133">
        <v>0</v>
      </c>
      <c r="G43" s="133">
        <v>0</v>
      </c>
      <c r="H43" s="133">
        <v>0</v>
      </c>
      <c r="I43" s="133">
        <v>0</v>
      </c>
      <c r="J43" s="157">
        <f t="shared" si="2"/>
        <v>0</v>
      </c>
    </row>
    <row r="44" spans="1:10">
      <c r="A44" s="188"/>
      <c r="B44" s="183"/>
      <c r="C44" s="149"/>
      <c r="D44" s="133">
        <v>0</v>
      </c>
      <c r="E44" s="133">
        <v>0</v>
      </c>
      <c r="F44" s="133">
        <v>0</v>
      </c>
      <c r="G44" s="133">
        <v>0</v>
      </c>
      <c r="H44" s="133">
        <v>0</v>
      </c>
      <c r="I44" s="133">
        <v>0</v>
      </c>
      <c r="J44" s="157">
        <f t="shared" ref="J44:J51" si="3">SUM(D44:I44)</f>
        <v>0</v>
      </c>
    </row>
    <row r="45" spans="1:10">
      <c r="A45" s="188"/>
      <c r="B45" s="183"/>
      <c r="C45" s="149"/>
      <c r="D45" s="133">
        <v>0</v>
      </c>
      <c r="E45" s="133">
        <v>0</v>
      </c>
      <c r="F45" s="133">
        <v>0</v>
      </c>
      <c r="G45" s="133">
        <v>0</v>
      </c>
      <c r="H45" s="133">
        <v>0</v>
      </c>
      <c r="I45" s="133">
        <v>0</v>
      </c>
      <c r="J45" s="157">
        <f t="shared" si="3"/>
        <v>0</v>
      </c>
    </row>
    <row r="46" spans="1:10">
      <c r="A46" s="188"/>
      <c r="B46" s="183"/>
      <c r="C46" s="149"/>
      <c r="D46" s="133">
        <v>0</v>
      </c>
      <c r="E46" s="133">
        <v>0</v>
      </c>
      <c r="F46" s="133">
        <v>0</v>
      </c>
      <c r="G46" s="133">
        <v>0</v>
      </c>
      <c r="H46" s="133">
        <v>0</v>
      </c>
      <c r="I46" s="133">
        <v>0</v>
      </c>
      <c r="J46" s="157">
        <f t="shared" si="3"/>
        <v>0</v>
      </c>
    </row>
    <row r="47" spans="1:10">
      <c r="A47" s="188"/>
      <c r="B47" s="183"/>
      <c r="C47" s="149"/>
      <c r="D47" s="133">
        <v>0</v>
      </c>
      <c r="E47" s="133">
        <v>0</v>
      </c>
      <c r="F47" s="133">
        <v>0</v>
      </c>
      <c r="G47" s="133">
        <v>0</v>
      </c>
      <c r="H47" s="133">
        <v>0</v>
      </c>
      <c r="I47" s="133">
        <v>0</v>
      </c>
      <c r="J47" s="157">
        <f t="shared" si="3"/>
        <v>0</v>
      </c>
    </row>
    <row r="48" spans="1:10">
      <c r="A48" s="188"/>
      <c r="B48" s="183"/>
      <c r="C48" s="149"/>
      <c r="D48" s="133">
        <v>0</v>
      </c>
      <c r="E48" s="133">
        <v>0</v>
      </c>
      <c r="F48" s="133">
        <v>0</v>
      </c>
      <c r="G48" s="133">
        <v>0</v>
      </c>
      <c r="H48" s="133">
        <v>0</v>
      </c>
      <c r="I48" s="133">
        <v>0</v>
      </c>
      <c r="J48" s="157">
        <f t="shared" si="3"/>
        <v>0</v>
      </c>
    </row>
    <row r="49" spans="1:10">
      <c r="A49" s="188"/>
      <c r="B49" s="183"/>
      <c r="C49" s="149"/>
      <c r="D49" s="133">
        <v>0</v>
      </c>
      <c r="E49" s="133">
        <v>0</v>
      </c>
      <c r="F49" s="133">
        <v>0</v>
      </c>
      <c r="G49" s="133">
        <v>0</v>
      </c>
      <c r="H49" s="133">
        <v>0</v>
      </c>
      <c r="I49" s="133">
        <v>0</v>
      </c>
      <c r="J49" s="157">
        <f t="shared" si="3"/>
        <v>0</v>
      </c>
    </row>
    <row r="50" spans="1:10">
      <c r="A50" s="188"/>
      <c r="B50" s="183"/>
      <c r="C50" s="149"/>
      <c r="D50" s="133">
        <v>0</v>
      </c>
      <c r="E50" s="133">
        <v>0</v>
      </c>
      <c r="F50" s="133">
        <v>0</v>
      </c>
      <c r="G50" s="133">
        <v>0</v>
      </c>
      <c r="H50" s="133">
        <v>0</v>
      </c>
      <c r="I50" s="133">
        <v>0</v>
      </c>
      <c r="J50" s="157">
        <f t="shared" si="3"/>
        <v>0</v>
      </c>
    </row>
    <row r="51" spans="1:10">
      <c r="A51" s="188"/>
      <c r="B51" s="183"/>
      <c r="C51" s="149"/>
      <c r="D51" s="133">
        <v>0</v>
      </c>
      <c r="E51" s="133">
        <v>0</v>
      </c>
      <c r="F51" s="133">
        <v>0</v>
      </c>
      <c r="G51" s="133">
        <v>0</v>
      </c>
      <c r="H51" s="133">
        <v>0</v>
      </c>
      <c r="I51" s="133">
        <v>0</v>
      </c>
      <c r="J51" s="157">
        <f t="shared" si="3"/>
        <v>0</v>
      </c>
    </row>
    <row r="52" spans="1:10">
      <c r="A52" s="188"/>
      <c r="B52" s="182"/>
      <c r="C52" s="149"/>
      <c r="D52" s="133">
        <v>0</v>
      </c>
      <c r="E52" s="133">
        <v>0</v>
      </c>
      <c r="F52" s="133">
        <v>0</v>
      </c>
      <c r="G52" s="133">
        <v>0</v>
      </c>
      <c r="H52" s="133">
        <v>0</v>
      </c>
      <c r="I52" s="133">
        <v>0</v>
      </c>
      <c r="J52" s="157">
        <f t="shared" si="2"/>
        <v>0</v>
      </c>
    </row>
    <row r="53" spans="1:10">
      <c r="A53" s="188"/>
      <c r="B53" s="182"/>
      <c r="C53" s="149"/>
      <c r="D53" s="133">
        <v>0</v>
      </c>
      <c r="E53" s="133">
        <v>0</v>
      </c>
      <c r="F53" s="133">
        <v>0</v>
      </c>
      <c r="G53" s="133">
        <v>0</v>
      </c>
      <c r="H53" s="133">
        <v>0</v>
      </c>
      <c r="I53" s="133">
        <v>0</v>
      </c>
      <c r="J53" s="157">
        <f t="shared" si="2"/>
        <v>0</v>
      </c>
    </row>
    <row r="54" spans="1:10">
      <c r="A54" s="188"/>
      <c r="B54" s="182"/>
      <c r="C54" s="149"/>
      <c r="D54" s="133">
        <v>0</v>
      </c>
      <c r="E54" s="133">
        <v>0</v>
      </c>
      <c r="F54" s="133">
        <v>0</v>
      </c>
      <c r="G54" s="133">
        <v>0</v>
      </c>
      <c r="H54" s="133">
        <v>0</v>
      </c>
      <c r="I54" s="133">
        <v>0</v>
      </c>
      <c r="J54" s="157">
        <f t="shared" si="2"/>
        <v>0</v>
      </c>
    </row>
    <row r="55" spans="1:10">
      <c r="A55" s="188"/>
      <c r="B55" s="182"/>
      <c r="C55" s="149"/>
      <c r="D55" s="133">
        <v>0</v>
      </c>
      <c r="E55" s="133">
        <v>0</v>
      </c>
      <c r="F55" s="133">
        <v>0</v>
      </c>
      <c r="G55" s="133">
        <v>0</v>
      </c>
      <c r="H55" s="133">
        <v>0</v>
      </c>
      <c r="I55" s="133">
        <v>0</v>
      </c>
      <c r="J55" s="157">
        <f t="shared" si="2"/>
        <v>0</v>
      </c>
    </row>
    <row r="56" spans="1:10">
      <c r="A56" s="188"/>
      <c r="B56" s="182"/>
      <c r="C56" s="149"/>
      <c r="D56" s="133">
        <v>0</v>
      </c>
      <c r="E56" s="133">
        <v>0</v>
      </c>
      <c r="F56" s="133">
        <v>0</v>
      </c>
      <c r="G56" s="133">
        <v>0</v>
      </c>
      <c r="H56" s="133">
        <v>0</v>
      </c>
      <c r="I56" s="133">
        <v>0</v>
      </c>
      <c r="J56" s="157">
        <f t="shared" si="2"/>
        <v>0</v>
      </c>
    </row>
    <row r="57" spans="1:10">
      <c r="A57" s="188"/>
      <c r="B57" s="182"/>
      <c r="C57" s="149"/>
      <c r="D57" s="133">
        <v>0</v>
      </c>
      <c r="E57" s="133">
        <v>0</v>
      </c>
      <c r="F57" s="133">
        <v>0</v>
      </c>
      <c r="G57" s="133">
        <v>0</v>
      </c>
      <c r="H57" s="133">
        <v>0</v>
      </c>
      <c r="I57" s="133">
        <v>0</v>
      </c>
      <c r="J57" s="157">
        <f t="shared" si="2"/>
        <v>0</v>
      </c>
    </row>
    <row r="58" spans="1:10">
      <c r="A58" s="188"/>
      <c r="B58" s="182"/>
      <c r="C58" s="149"/>
      <c r="D58" s="133">
        <v>0</v>
      </c>
      <c r="E58" s="133">
        <v>0</v>
      </c>
      <c r="F58" s="133">
        <v>0</v>
      </c>
      <c r="G58" s="133">
        <v>0</v>
      </c>
      <c r="H58" s="133">
        <v>0</v>
      </c>
      <c r="I58" s="133">
        <v>0</v>
      </c>
      <c r="J58" s="157">
        <f t="shared" si="2"/>
        <v>0</v>
      </c>
    </row>
    <row r="59" spans="1:10">
      <c r="A59" s="188"/>
      <c r="B59" s="182"/>
      <c r="C59" s="149"/>
      <c r="D59" s="133">
        <v>0</v>
      </c>
      <c r="E59" s="133">
        <v>0</v>
      </c>
      <c r="F59" s="133">
        <v>0</v>
      </c>
      <c r="G59" s="133">
        <v>0</v>
      </c>
      <c r="H59" s="133">
        <v>0</v>
      </c>
      <c r="I59" s="133">
        <v>0</v>
      </c>
      <c r="J59" s="157">
        <f t="shared" si="2"/>
        <v>0</v>
      </c>
    </row>
    <row r="60" spans="1:10">
      <c r="A60" s="188"/>
      <c r="B60" s="182"/>
      <c r="C60" s="149"/>
      <c r="D60" s="133">
        <v>0</v>
      </c>
      <c r="E60" s="133">
        <v>0</v>
      </c>
      <c r="F60" s="133">
        <v>0</v>
      </c>
      <c r="G60" s="133">
        <v>0</v>
      </c>
      <c r="H60" s="133">
        <v>0</v>
      </c>
      <c r="I60" s="133">
        <v>0</v>
      </c>
      <c r="J60" s="157">
        <f t="shared" si="2"/>
        <v>0</v>
      </c>
    </row>
    <row r="61" spans="1:10">
      <c r="A61" s="188"/>
      <c r="B61" s="183"/>
      <c r="C61" s="149"/>
      <c r="D61" s="133">
        <v>0</v>
      </c>
      <c r="E61" s="133">
        <v>0</v>
      </c>
      <c r="F61" s="133">
        <v>0</v>
      </c>
      <c r="G61" s="133">
        <v>0</v>
      </c>
      <c r="H61" s="133">
        <v>0</v>
      </c>
      <c r="I61" s="133">
        <v>0</v>
      </c>
      <c r="J61" s="157">
        <f t="shared" si="2"/>
        <v>0</v>
      </c>
    </row>
    <row r="62" spans="1:10">
      <c r="A62" s="188"/>
      <c r="B62" s="183"/>
      <c r="C62" s="149"/>
      <c r="D62" s="133">
        <v>0</v>
      </c>
      <c r="E62" s="133">
        <v>0</v>
      </c>
      <c r="F62" s="133">
        <v>0</v>
      </c>
      <c r="G62" s="133">
        <v>0</v>
      </c>
      <c r="H62" s="133">
        <v>0</v>
      </c>
      <c r="I62" s="133">
        <v>0</v>
      </c>
      <c r="J62" s="157">
        <f t="shared" si="2"/>
        <v>0</v>
      </c>
    </row>
    <row r="63" spans="1:10">
      <c r="A63" s="188"/>
      <c r="B63" s="183"/>
      <c r="C63" s="149"/>
      <c r="D63" s="133">
        <v>0</v>
      </c>
      <c r="E63" s="133">
        <v>0</v>
      </c>
      <c r="F63" s="133">
        <v>0</v>
      </c>
      <c r="G63" s="133">
        <v>0</v>
      </c>
      <c r="H63" s="133">
        <v>0</v>
      </c>
      <c r="I63" s="133">
        <v>0</v>
      </c>
      <c r="J63" s="157">
        <f t="shared" si="2"/>
        <v>0</v>
      </c>
    </row>
    <row r="64" spans="1:10">
      <c r="A64" s="188"/>
      <c r="B64" s="183"/>
      <c r="C64" s="149"/>
      <c r="D64" s="133">
        <v>0</v>
      </c>
      <c r="E64" s="133">
        <v>0</v>
      </c>
      <c r="F64" s="133">
        <v>0</v>
      </c>
      <c r="G64" s="133">
        <v>0</v>
      </c>
      <c r="H64" s="133">
        <v>0</v>
      </c>
      <c r="I64" s="133">
        <v>0</v>
      </c>
      <c r="J64" s="157">
        <f t="shared" si="2"/>
        <v>0</v>
      </c>
    </row>
    <row r="65" spans="1:10">
      <c r="A65" s="188"/>
      <c r="B65" s="183"/>
      <c r="C65" s="149"/>
      <c r="D65" s="133">
        <v>0</v>
      </c>
      <c r="E65" s="133">
        <v>0</v>
      </c>
      <c r="F65" s="133">
        <v>0</v>
      </c>
      <c r="G65" s="133">
        <v>0</v>
      </c>
      <c r="H65" s="133">
        <v>0</v>
      </c>
      <c r="I65" s="133">
        <v>0</v>
      </c>
      <c r="J65" s="157">
        <f t="shared" si="2"/>
        <v>0</v>
      </c>
    </row>
    <row r="66" spans="1:10">
      <c r="A66" s="188"/>
      <c r="B66" s="183"/>
      <c r="C66" s="149"/>
      <c r="D66" s="133">
        <v>0</v>
      </c>
      <c r="E66" s="133">
        <v>0</v>
      </c>
      <c r="F66" s="133">
        <v>0</v>
      </c>
      <c r="G66" s="133">
        <v>0</v>
      </c>
      <c r="H66" s="133">
        <v>0</v>
      </c>
      <c r="I66" s="133">
        <v>0</v>
      </c>
      <c r="J66" s="157">
        <f t="shared" si="2"/>
        <v>0</v>
      </c>
    </row>
    <row r="67" spans="1:10">
      <c r="A67" s="188"/>
      <c r="B67" s="183"/>
      <c r="C67" s="149"/>
      <c r="D67" s="133">
        <v>0</v>
      </c>
      <c r="E67" s="133">
        <v>0</v>
      </c>
      <c r="F67" s="133">
        <v>0</v>
      </c>
      <c r="G67" s="133">
        <v>0</v>
      </c>
      <c r="H67" s="133">
        <v>0</v>
      </c>
      <c r="I67" s="133">
        <v>0</v>
      </c>
      <c r="J67" s="157">
        <f t="shared" ref="J67:J69" si="4">SUM(D67:I67)</f>
        <v>0</v>
      </c>
    </row>
    <row r="68" spans="1:10">
      <c r="A68" s="188"/>
      <c r="B68" s="182"/>
      <c r="C68" s="149"/>
      <c r="D68" s="133">
        <v>0</v>
      </c>
      <c r="E68" s="133">
        <v>0</v>
      </c>
      <c r="F68" s="133">
        <v>0</v>
      </c>
      <c r="G68" s="133">
        <v>0</v>
      </c>
      <c r="H68" s="133">
        <v>0</v>
      </c>
      <c r="I68" s="133">
        <v>0</v>
      </c>
      <c r="J68" s="157">
        <f t="shared" si="4"/>
        <v>0</v>
      </c>
    </row>
    <row r="69" spans="1:10">
      <c r="A69" s="188"/>
      <c r="B69" s="182"/>
      <c r="C69" s="149"/>
      <c r="D69" s="133">
        <v>0</v>
      </c>
      <c r="E69" s="133">
        <v>0</v>
      </c>
      <c r="F69" s="133">
        <v>0</v>
      </c>
      <c r="G69" s="133">
        <v>0</v>
      </c>
      <c r="H69" s="133">
        <v>0</v>
      </c>
      <c r="I69" s="133">
        <v>0</v>
      </c>
      <c r="J69" s="157">
        <f t="shared" si="4"/>
        <v>0</v>
      </c>
    </row>
    <row r="70" spans="1:10">
      <c r="A70" s="188"/>
      <c r="B70" s="182"/>
      <c r="C70" s="149"/>
      <c r="D70" s="133">
        <v>0</v>
      </c>
      <c r="E70" s="133">
        <v>0</v>
      </c>
      <c r="F70" s="133">
        <v>0</v>
      </c>
      <c r="G70" s="133">
        <v>0</v>
      </c>
      <c r="H70" s="133">
        <v>0</v>
      </c>
      <c r="I70" s="133">
        <v>0</v>
      </c>
      <c r="J70" s="157">
        <f t="shared" ref="J70:J77" si="5">SUM(D70:I70)</f>
        <v>0</v>
      </c>
    </row>
    <row r="71" spans="1:10">
      <c r="A71" s="188"/>
      <c r="B71" s="182"/>
      <c r="C71" s="149"/>
      <c r="D71" s="133">
        <v>0</v>
      </c>
      <c r="E71" s="133">
        <v>0</v>
      </c>
      <c r="F71" s="133">
        <v>0</v>
      </c>
      <c r="G71" s="133">
        <v>0</v>
      </c>
      <c r="H71" s="133">
        <v>0</v>
      </c>
      <c r="I71" s="133">
        <v>0</v>
      </c>
      <c r="J71" s="157">
        <f t="shared" si="5"/>
        <v>0</v>
      </c>
    </row>
    <row r="72" spans="1:10">
      <c r="A72" s="188"/>
      <c r="B72" s="182"/>
      <c r="C72" s="149"/>
      <c r="D72" s="133">
        <v>0</v>
      </c>
      <c r="E72" s="133">
        <v>0</v>
      </c>
      <c r="F72" s="133">
        <v>0</v>
      </c>
      <c r="G72" s="133">
        <v>0</v>
      </c>
      <c r="H72" s="133">
        <v>0</v>
      </c>
      <c r="I72" s="133">
        <v>0</v>
      </c>
      <c r="J72" s="157">
        <f t="shared" si="5"/>
        <v>0</v>
      </c>
    </row>
    <row r="73" spans="1:10">
      <c r="A73" s="188"/>
      <c r="B73" s="182"/>
      <c r="C73" s="149"/>
      <c r="D73" s="133">
        <v>0</v>
      </c>
      <c r="E73" s="133">
        <v>0</v>
      </c>
      <c r="F73" s="133">
        <v>0</v>
      </c>
      <c r="G73" s="133">
        <v>0</v>
      </c>
      <c r="H73" s="133">
        <v>0</v>
      </c>
      <c r="I73" s="133">
        <v>0</v>
      </c>
      <c r="J73" s="157">
        <f t="shared" si="5"/>
        <v>0</v>
      </c>
    </row>
    <row r="74" spans="1:10">
      <c r="A74" s="188"/>
      <c r="B74" s="182"/>
      <c r="C74" s="149"/>
      <c r="D74" s="133">
        <v>0</v>
      </c>
      <c r="E74" s="133">
        <v>0</v>
      </c>
      <c r="F74" s="133">
        <v>0</v>
      </c>
      <c r="G74" s="133">
        <v>0</v>
      </c>
      <c r="H74" s="133">
        <v>0</v>
      </c>
      <c r="I74" s="133">
        <v>0</v>
      </c>
      <c r="J74" s="157">
        <f t="shared" si="5"/>
        <v>0</v>
      </c>
    </row>
    <row r="75" spans="1:10">
      <c r="A75" s="188"/>
      <c r="B75" s="182"/>
      <c r="C75" s="149"/>
      <c r="D75" s="133">
        <v>0</v>
      </c>
      <c r="E75" s="133">
        <v>0</v>
      </c>
      <c r="F75" s="133">
        <v>0</v>
      </c>
      <c r="G75" s="133">
        <v>0</v>
      </c>
      <c r="H75" s="133">
        <v>0</v>
      </c>
      <c r="I75" s="133">
        <v>0</v>
      </c>
      <c r="J75" s="157">
        <f t="shared" si="5"/>
        <v>0</v>
      </c>
    </row>
    <row r="76" spans="1:10">
      <c r="A76" s="188"/>
      <c r="B76" s="182"/>
      <c r="C76" s="149"/>
      <c r="D76" s="133">
        <v>0</v>
      </c>
      <c r="E76" s="133">
        <v>0</v>
      </c>
      <c r="F76" s="133">
        <v>0</v>
      </c>
      <c r="G76" s="133">
        <v>0</v>
      </c>
      <c r="H76" s="133">
        <v>0</v>
      </c>
      <c r="I76" s="133">
        <v>0</v>
      </c>
      <c r="J76" s="157">
        <f t="shared" si="5"/>
        <v>0</v>
      </c>
    </row>
    <row r="77" spans="1:10">
      <c r="A77" s="188"/>
      <c r="B77" s="182"/>
      <c r="C77" s="149"/>
      <c r="D77" s="133">
        <v>0</v>
      </c>
      <c r="E77" s="133">
        <v>0</v>
      </c>
      <c r="F77" s="133">
        <v>0</v>
      </c>
      <c r="G77" s="133">
        <v>0</v>
      </c>
      <c r="H77" s="133">
        <v>0</v>
      </c>
      <c r="I77" s="133">
        <v>0</v>
      </c>
      <c r="J77" s="157">
        <f t="shared" si="5"/>
        <v>0</v>
      </c>
    </row>
    <row r="78" spans="1:10">
      <c r="A78" s="188"/>
      <c r="B78" s="182"/>
      <c r="C78" s="149"/>
      <c r="D78" s="133">
        <v>0</v>
      </c>
      <c r="E78" s="133">
        <v>0</v>
      </c>
      <c r="F78" s="133">
        <v>0</v>
      </c>
      <c r="G78" s="133">
        <v>0</v>
      </c>
      <c r="H78" s="133">
        <v>0</v>
      </c>
      <c r="I78" s="133">
        <v>0</v>
      </c>
      <c r="J78" s="157">
        <f t="shared" ref="J78:J84" si="6">SUM(D78:I78)</f>
        <v>0</v>
      </c>
    </row>
    <row r="79" spans="1:10">
      <c r="A79" s="188"/>
      <c r="B79" s="182"/>
      <c r="C79" s="149"/>
      <c r="D79" s="133">
        <v>0</v>
      </c>
      <c r="E79" s="133">
        <v>0</v>
      </c>
      <c r="F79" s="133">
        <v>0</v>
      </c>
      <c r="G79" s="133">
        <v>0</v>
      </c>
      <c r="H79" s="133">
        <v>0</v>
      </c>
      <c r="I79" s="133">
        <v>0</v>
      </c>
      <c r="J79" s="157">
        <f t="shared" si="6"/>
        <v>0</v>
      </c>
    </row>
    <row r="80" spans="1:10">
      <c r="A80" s="188"/>
      <c r="B80" s="182"/>
      <c r="C80" s="149"/>
      <c r="D80" s="133">
        <v>0</v>
      </c>
      <c r="E80" s="133">
        <v>0</v>
      </c>
      <c r="F80" s="133">
        <v>0</v>
      </c>
      <c r="G80" s="133">
        <v>0</v>
      </c>
      <c r="H80" s="133">
        <v>0</v>
      </c>
      <c r="I80" s="133">
        <v>0</v>
      </c>
      <c r="J80" s="157">
        <f t="shared" si="6"/>
        <v>0</v>
      </c>
    </row>
    <row r="81" spans="1:10">
      <c r="A81" s="188"/>
      <c r="B81" s="182"/>
      <c r="C81" s="149"/>
      <c r="D81" s="133">
        <v>0</v>
      </c>
      <c r="E81" s="133">
        <v>0</v>
      </c>
      <c r="F81" s="133">
        <v>0</v>
      </c>
      <c r="G81" s="133">
        <v>0</v>
      </c>
      <c r="H81" s="133">
        <v>0</v>
      </c>
      <c r="I81" s="133">
        <v>0</v>
      </c>
      <c r="J81" s="157">
        <f t="shared" si="6"/>
        <v>0</v>
      </c>
    </row>
    <row r="82" spans="1:10">
      <c r="A82" s="188"/>
      <c r="B82" s="182"/>
      <c r="C82" s="149"/>
      <c r="D82" s="133">
        <v>0</v>
      </c>
      <c r="E82" s="133">
        <v>0</v>
      </c>
      <c r="F82" s="133">
        <v>0</v>
      </c>
      <c r="G82" s="133">
        <v>0</v>
      </c>
      <c r="H82" s="133">
        <v>0</v>
      </c>
      <c r="I82" s="133">
        <v>0</v>
      </c>
      <c r="J82" s="157">
        <f t="shared" si="6"/>
        <v>0</v>
      </c>
    </row>
    <row r="83" spans="1:10">
      <c r="A83" s="188"/>
      <c r="B83" s="182"/>
      <c r="C83" s="149"/>
      <c r="D83" s="133">
        <v>0</v>
      </c>
      <c r="E83" s="133">
        <v>0</v>
      </c>
      <c r="F83" s="133">
        <v>0</v>
      </c>
      <c r="G83" s="133">
        <v>0</v>
      </c>
      <c r="H83" s="133">
        <v>0</v>
      </c>
      <c r="I83" s="133">
        <v>0</v>
      </c>
      <c r="J83" s="157">
        <f t="shared" si="6"/>
        <v>0</v>
      </c>
    </row>
    <row r="84" spans="1:10">
      <c r="A84" s="188"/>
      <c r="B84" s="182"/>
      <c r="C84" s="149"/>
      <c r="D84" s="133">
        <v>0</v>
      </c>
      <c r="E84" s="133">
        <v>0</v>
      </c>
      <c r="F84" s="133">
        <v>0</v>
      </c>
      <c r="G84" s="133">
        <v>0</v>
      </c>
      <c r="H84" s="133">
        <v>0</v>
      </c>
      <c r="I84" s="133">
        <v>0</v>
      </c>
      <c r="J84" s="157">
        <f t="shared" si="6"/>
        <v>0</v>
      </c>
    </row>
    <row r="85" spans="1:10">
      <c r="A85" s="188"/>
      <c r="B85" s="182"/>
      <c r="C85" s="149"/>
      <c r="D85" s="133">
        <v>0</v>
      </c>
      <c r="E85" s="133">
        <v>0</v>
      </c>
      <c r="F85" s="133">
        <v>0</v>
      </c>
      <c r="G85" s="133">
        <v>0</v>
      </c>
      <c r="H85" s="133">
        <v>0</v>
      </c>
      <c r="I85" s="133">
        <v>0</v>
      </c>
      <c r="J85" s="157">
        <f>SUM(D85:I85)</f>
        <v>0</v>
      </c>
    </row>
    <row r="86" spans="1:10">
      <c r="A86" s="188"/>
      <c r="B86" s="182"/>
      <c r="C86" s="149"/>
      <c r="D86" s="133">
        <v>0</v>
      </c>
      <c r="E86" s="133">
        <v>0</v>
      </c>
      <c r="F86" s="133">
        <v>0</v>
      </c>
      <c r="G86" s="133">
        <v>0</v>
      </c>
      <c r="H86" s="133">
        <v>0</v>
      </c>
      <c r="I86" s="133">
        <v>0</v>
      </c>
      <c r="J86" s="157">
        <f>SUM(D86:I86)</f>
        <v>0</v>
      </c>
    </row>
    <row r="87" spans="1:10">
      <c r="A87" s="188"/>
      <c r="B87" s="182"/>
      <c r="C87" s="149"/>
      <c r="D87" s="133">
        <v>0</v>
      </c>
      <c r="E87" s="133">
        <v>0</v>
      </c>
      <c r="F87" s="133">
        <v>0</v>
      </c>
      <c r="G87" s="133">
        <v>0</v>
      </c>
      <c r="H87" s="133">
        <v>0</v>
      </c>
      <c r="I87" s="133">
        <v>0</v>
      </c>
      <c r="J87" s="157">
        <f>SUM(D87:I87)</f>
        <v>0</v>
      </c>
    </row>
    <row r="88" spans="1:10">
      <c r="A88" s="188"/>
      <c r="B88" s="182"/>
      <c r="C88" s="149"/>
      <c r="D88" s="133">
        <v>0</v>
      </c>
      <c r="E88" s="133">
        <v>0</v>
      </c>
      <c r="F88" s="133">
        <v>0</v>
      </c>
      <c r="G88" s="133">
        <v>0</v>
      </c>
      <c r="H88" s="133">
        <v>0</v>
      </c>
      <c r="I88" s="133">
        <v>0</v>
      </c>
      <c r="J88" s="157">
        <f>SUM(D88:I88)</f>
        <v>0</v>
      </c>
    </row>
    <row r="89" spans="1:10">
      <c r="A89" s="188"/>
      <c r="B89" s="182"/>
      <c r="C89" s="149"/>
      <c r="D89" s="133">
        <v>0</v>
      </c>
      <c r="E89" s="133">
        <v>0</v>
      </c>
      <c r="F89" s="133">
        <v>0</v>
      </c>
      <c r="G89" s="133">
        <v>0</v>
      </c>
      <c r="H89" s="133">
        <v>0</v>
      </c>
      <c r="I89" s="133">
        <v>0</v>
      </c>
      <c r="J89" s="157">
        <f t="shared" ref="J89" si="7">SUM(D89:I89)</f>
        <v>0</v>
      </c>
    </row>
    <row r="90" spans="1:10">
      <c r="A90" s="188"/>
      <c r="B90" s="182"/>
      <c r="C90" s="149"/>
      <c r="D90" s="133">
        <v>0</v>
      </c>
      <c r="E90" s="133">
        <v>0</v>
      </c>
      <c r="F90" s="133">
        <v>0</v>
      </c>
      <c r="G90" s="133">
        <v>0</v>
      </c>
      <c r="H90" s="133">
        <v>0</v>
      </c>
      <c r="I90" s="133">
        <v>0</v>
      </c>
      <c r="J90" s="157">
        <f>SUM(D90:I90)</f>
        <v>0</v>
      </c>
    </row>
    <row r="91" spans="1:10" ht="15.75" thickBot="1">
      <c r="A91" s="189"/>
      <c r="B91" s="191"/>
      <c r="C91" s="161"/>
      <c r="D91" s="162">
        <v>0</v>
      </c>
      <c r="E91" s="162">
        <v>0</v>
      </c>
      <c r="F91" s="162">
        <v>0</v>
      </c>
      <c r="G91" s="162">
        <v>0</v>
      </c>
      <c r="H91" s="162">
        <v>0</v>
      </c>
      <c r="I91" s="162">
        <v>0</v>
      </c>
      <c r="J91" s="163">
        <f>SUM(D91:I91)</f>
        <v>0</v>
      </c>
    </row>
    <row r="92" spans="1:10">
      <c r="A92" s="180"/>
      <c r="B92" s="182"/>
      <c r="C92" s="149"/>
      <c r="D92" s="133">
        <v>0</v>
      </c>
      <c r="E92" s="133">
        <v>0</v>
      </c>
      <c r="F92" s="133">
        <v>0</v>
      </c>
      <c r="G92" s="133">
        <v>0</v>
      </c>
      <c r="H92" s="133">
        <v>0</v>
      </c>
      <c r="I92" s="133">
        <v>0</v>
      </c>
      <c r="J92" s="157">
        <f>SUM(D92:I92)</f>
        <v>0</v>
      </c>
    </row>
    <row r="93" spans="1:10">
      <c r="A93" s="180"/>
      <c r="B93" s="182"/>
      <c r="C93" s="149"/>
      <c r="D93" s="133">
        <v>0</v>
      </c>
      <c r="E93" s="133">
        <v>0</v>
      </c>
      <c r="F93" s="133">
        <v>0</v>
      </c>
      <c r="G93" s="133">
        <v>0</v>
      </c>
      <c r="H93" s="133">
        <v>0</v>
      </c>
      <c r="I93" s="133">
        <v>0</v>
      </c>
      <c r="J93" s="157">
        <f t="shared" ref="J93:J102" si="8">SUM(D93:I93)</f>
        <v>0</v>
      </c>
    </row>
    <row r="94" spans="1:10">
      <c r="A94" s="180"/>
      <c r="B94" s="182"/>
      <c r="C94" s="149"/>
      <c r="D94" s="133">
        <v>0</v>
      </c>
      <c r="E94" s="133">
        <v>0</v>
      </c>
      <c r="F94" s="133">
        <v>0</v>
      </c>
      <c r="G94" s="133">
        <v>0</v>
      </c>
      <c r="H94" s="133">
        <v>0</v>
      </c>
      <c r="I94" s="133">
        <v>0</v>
      </c>
      <c r="J94" s="157">
        <f t="shared" si="8"/>
        <v>0</v>
      </c>
    </row>
    <row r="95" spans="1:10">
      <c r="A95" s="180"/>
      <c r="B95" s="182"/>
      <c r="C95" s="149"/>
      <c r="D95" s="133">
        <v>0</v>
      </c>
      <c r="E95" s="133">
        <v>0</v>
      </c>
      <c r="F95" s="133">
        <v>0</v>
      </c>
      <c r="G95" s="133">
        <v>0</v>
      </c>
      <c r="H95" s="133">
        <v>0</v>
      </c>
      <c r="I95" s="133">
        <v>0</v>
      </c>
      <c r="J95" s="157">
        <f t="shared" si="8"/>
        <v>0</v>
      </c>
    </row>
    <row r="96" spans="1:10">
      <c r="A96" s="180"/>
      <c r="B96" s="182"/>
      <c r="C96" s="149"/>
      <c r="D96" s="133">
        <v>0</v>
      </c>
      <c r="E96" s="133">
        <v>0</v>
      </c>
      <c r="F96" s="133">
        <v>0</v>
      </c>
      <c r="G96" s="133">
        <v>0</v>
      </c>
      <c r="H96" s="133">
        <v>0</v>
      </c>
      <c r="I96" s="133">
        <v>0</v>
      </c>
      <c r="J96" s="157">
        <f t="shared" si="8"/>
        <v>0</v>
      </c>
    </row>
    <row r="97" spans="1:10">
      <c r="A97" s="180"/>
      <c r="B97" s="182"/>
      <c r="C97" s="149"/>
      <c r="D97" s="133">
        <v>0</v>
      </c>
      <c r="E97" s="133">
        <v>0</v>
      </c>
      <c r="F97" s="133">
        <v>0</v>
      </c>
      <c r="G97" s="133">
        <v>0</v>
      </c>
      <c r="H97" s="133">
        <v>0</v>
      </c>
      <c r="I97" s="133">
        <v>0</v>
      </c>
      <c r="J97" s="157">
        <f t="shared" si="8"/>
        <v>0</v>
      </c>
    </row>
    <row r="98" spans="1:10">
      <c r="A98" s="180"/>
      <c r="B98" s="182"/>
      <c r="C98" s="149"/>
      <c r="D98" s="133">
        <v>0</v>
      </c>
      <c r="E98" s="133">
        <v>0</v>
      </c>
      <c r="F98" s="133">
        <v>0</v>
      </c>
      <c r="G98" s="133">
        <v>0</v>
      </c>
      <c r="H98" s="133">
        <v>0</v>
      </c>
      <c r="I98" s="133">
        <v>0</v>
      </c>
      <c r="J98" s="157">
        <f t="shared" si="8"/>
        <v>0</v>
      </c>
    </row>
    <row r="99" spans="1:10">
      <c r="A99" s="180"/>
      <c r="B99" s="182"/>
      <c r="C99" s="149"/>
      <c r="D99" s="133">
        <v>0</v>
      </c>
      <c r="E99" s="133">
        <v>0</v>
      </c>
      <c r="F99" s="133">
        <v>0</v>
      </c>
      <c r="G99" s="133">
        <v>0</v>
      </c>
      <c r="H99" s="133">
        <v>0</v>
      </c>
      <c r="I99" s="133">
        <v>0</v>
      </c>
      <c r="J99" s="157">
        <f t="shared" si="8"/>
        <v>0</v>
      </c>
    </row>
    <row r="100" spans="1:10">
      <c r="A100" s="180"/>
      <c r="B100" s="182"/>
      <c r="C100" s="149"/>
      <c r="D100" s="133">
        <v>0</v>
      </c>
      <c r="E100" s="133">
        <v>0</v>
      </c>
      <c r="F100" s="133">
        <v>0</v>
      </c>
      <c r="G100" s="133">
        <v>0</v>
      </c>
      <c r="H100" s="133">
        <v>0</v>
      </c>
      <c r="I100" s="133">
        <v>0</v>
      </c>
      <c r="J100" s="157">
        <f t="shared" si="8"/>
        <v>0</v>
      </c>
    </row>
    <row r="101" spans="1:10">
      <c r="A101" s="180"/>
      <c r="B101" s="182"/>
      <c r="C101" s="149"/>
      <c r="D101" s="133">
        <v>0</v>
      </c>
      <c r="E101" s="133">
        <v>0</v>
      </c>
      <c r="F101" s="133">
        <v>0</v>
      </c>
      <c r="G101" s="133">
        <v>0</v>
      </c>
      <c r="H101" s="133">
        <v>0</v>
      </c>
      <c r="I101" s="133">
        <v>0</v>
      </c>
      <c r="J101" s="157">
        <f t="shared" ref="J101" si="9">SUM(D101:I101)</f>
        <v>0</v>
      </c>
    </row>
    <row r="102" spans="1:10">
      <c r="A102" s="180"/>
      <c r="B102" s="182"/>
      <c r="C102" s="149"/>
      <c r="D102" s="133">
        <v>0</v>
      </c>
      <c r="E102" s="133">
        <v>0</v>
      </c>
      <c r="F102" s="133">
        <v>0</v>
      </c>
      <c r="G102" s="133">
        <v>0</v>
      </c>
      <c r="H102" s="133">
        <v>0</v>
      </c>
      <c r="I102" s="133">
        <v>0</v>
      </c>
      <c r="J102" s="157">
        <f t="shared" si="8"/>
        <v>0</v>
      </c>
    </row>
    <row r="103" spans="1:10">
      <c r="A103" s="180"/>
      <c r="B103" s="182"/>
      <c r="C103" s="149"/>
      <c r="D103" s="133">
        <v>0</v>
      </c>
      <c r="E103" s="133">
        <v>0</v>
      </c>
      <c r="F103" s="133">
        <v>0</v>
      </c>
      <c r="G103" s="133">
        <v>0</v>
      </c>
      <c r="H103" s="133">
        <v>0</v>
      </c>
      <c r="I103" s="133">
        <v>0</v>
      </c>
      <c r="J103" s="157">
        <f>SUM(D103:I103)</f>
        <v>0</v>
      </c>
    </row>
    <row r="104" spans="1:10">
      <c r="A104" s="180"/>
      <c r="B104" s="182"/>
      <c r="C104" s="149"/>
      <c r="D104" s="133">
        <v>0</v>
      </c>
      <c r="E104" s="133">
        <v>0</v>
      </c>
      <c r="F104" s="133">
        <v>0</v>
      </c>
      <c r="G104" s="133">
        <v>0</v>
      </c>
      <c r="H104" s="133">
        <v>0</v>
      </c>
      <c r="I104" s="133">
        <v>0</v>
      </c>
      <c r="J104" s="157">
        <f>SUM(D104:I104)</f>
        <v>0</v>
      </c>
    </row>
    <row r="105" spans="1:10">
      <c r="A105" s="180"/>
      <c r="B105" s="182"/>
      <c r="C105" s="149"/>
      <c r="D105" s="133">
        <v>0</v>
      </c>
      <c r="E105" s="133">
        <v>0</v>
      </c>
      <c r="F105" s="133">
        <v>0</v>
      </c>
      <c r="G105" s="133">
        <v>0</v>
      </c>
      <c r="H105" s="133">
        <v>0</v>
      </c>
      <c r="I105" s="133">
        <v>0</v>
      </c>
      <c r="J105" s="157">
        <f t="shared" ref="J105:J126" si="10">SUM(D105:I105)</f>
        <v>0</v>
      </c>
    </row>
    <row r="106" spans="1:10">
      <c r="A106" s="180"/>
      <c r="B106" s="182"/>
      <c r="C106" s="149"/>
      <c r="D106" s="133">
        <v>0</v>
      </c>
      <c r="E106" s="133">
        <v>0</v>
      </c>
      <c r="F106" s="133">
        <v>0</v>
      </c>
      <c r="G106" s="133">
        <v>0</v>
      </c>
      <c r="H106" s="133">
        <v>0</v>
      </c>
      <c r="I106" s="133">
        <v>0</v>
      </c>
      <c r="J106" s="157">
        <f t="shared" si="10"/>
        <v>0</v>
      </c>
    </row>
    <row r="107" spans="1:10">
      <c r="A107" s="180"/>
      <c r="B107" s="182"/>
      <c r="C107" s="149"/>
      <c r="D107" s="133">
        <v>0</v>
      </c>
      <c r="E107" s="133">
        <v>0</v>
      </c>
      <c r="F107" s="133">
        <v>0</v>
      </c>
      <c r="G107" s="133">
        <v>0</v>
      </c>
      <c r="H107" s="133">
        <v>0</v>
      </c>
      <c r="I107" s="133">
        <v>0</v>
      </c>
      <c r="J107" s="157">
        <f t="shared" si="10"/>
        <v>0</v>
      </c>
    </row>
    <row r="108" spans="1:10">
      <c r="A108" s="180"/>
      <c r="B108" s="182"/>
      <c r="C108" s="149"/>
      <c r="D108" s="133">
        <v>0</v>
      </c>
      <c r="E108" s="133">
        <v>0</v>
      </c>
      <c r="F108" s="133">
        <v>0</v>
      </c>
      <c r="G108" s="133">
        <v>0</v>
      </c>
      <c r="H108" s="133">
        <v>0</v>
      </c>
      <c r="I108" s="133">
        <v>0</v>
      </c>
      <c r="J108" s="157">
        <f t="shared" si="10"/>
        <v>0</v>
      </c>
    </row>
    <row r="109" spans="1:10">
      <c r="A109" s="180"/>
      <c r="B109" s="182"/>
      <c r="C109" s="149"/>
      <c r="D109" s="133">
        <v>0</v>
      </c>
      <c r="E109" s="133">
        <v>0</v>
      </c>
      <c r="F109" s="133">
        <v>0</v>
      </c>
      <c r="G109" s="133">
        <v>0</v>
      </c>
      <c r="H109" s="133">
        <v>0</v>
      </c>
      <c r="I109" s="133">
        <v>0</v>
      </c>
      <c r="J109" s="157">
        <f t="shared" si="10"/>
        <v>0</v>
      </c>
    </row>
    <row r="110" spans="1:10">
      <c r="A110" s="180"/>
      <c r="B110" s="182"/>
      <c r="C110" s="149"/>
      <c r="D110" s="133">
        <v>0</v>
      </c>
      <c r="E110" s="133">
        <v>0</v>
      </c>
      <c r="F110" s="133">
        <v>0</v>
      </c>
      <c r="G110" s="133">
        <v>0</v>
      </c>
      <c r="H110" s="133">
        <v>0</v>
      </c>
      <c r="I110" s="133">
        <v>0</v>
      </c>
      <c r="J110" s="157">
        <f t="shared" si="10"/>
        <v>0</v>
      </c>
    </row>
    <row r="111" spans="1:10">
      <c r="A111" s="180"/>
      <c r="B111" s="182"/>
      <c r="C111" s="149"/>
      <c r="D111" s="133">
        <v>0</v>
      </c>
      <c r="E111" s="133">
        <v>0</v>
      </c>
      <c r="F111" s="133">
        <v>0</v>
      </c>
      <c r="G111" s="133">
        <v>0</v>
      </c>
      <c r="H111" s="133">
        <v>0</v>
      </c>
      <c r="I111" s="133">
        <v>0</v>
      </c>
      <c r="J111" s="157">
        <f t="shared" si="10"/>
        <v>0</v>
      </c>
    </row>
    <row r="112" spans="1:10">
      <c r="A112" s="180"/>
      <c r="B112" s="182"/>
      <c r="C112" s="149"/>
      <c r="D112" s="133">
        <v>0</v>
      </c>
      <c r="E112" s="133">
        <v>0</v>
      </c>
      <c r="F112" s="133">
        <v>0</v>
      </c>
      <c r="G112" s="133">
        <v>0</v>
      </c>
      <c r="H112" s="133">
        <v>0</v>
      </c>
      <c r="I112" s="133">
        <v>0</v>
      </c>
      <c r="J112" s="157">
        <f t="shared" si="10"/>
        <v>0</v>
      </c>
    </row>
    <row r="113" spans="1:10">
      <c r="A113" s="180"/>
      <c r="B113" s="182"/>
      <c r="C113" s="149"/>
      <c r="D113" s="133">
        <v>0</v>
      </c>
      <c r="E113" s="133">
        <v>0</v>
      </c>
      <c r="F113" s="133">
        <v>0</v>
      </c>
      <c r="G113" s="133">
        <v>0</v>
      </c>
      <c r="H113" s="133">
        <v>0</v>
      </c>
      <c r="I113" s="133">
        <v>0</v>
      </c>
      <c r="J113" s="157">
        <f t="shared" si="10"/>
        <v>0</v>
      </c>
    </row>
    <row r="114" spans="1:10">
      <c r="A114" s="180"/>
      <c r="B114" s="182"/>
      <c r="C114" s="149"/>
      <c r="D114" s="133">
        <v>0</v>
      </c>
      <c r="E114" s="133">
        <v>0</v>
      </c>
      <c r="F114" s="133">
        <v>0</v>
      </c>
      <c r="G114" s="133">
        <v>0</v>
      </c>
      <c r="H114" s="133">
        <v>0</v>
      </c>
      <c r="I114" s="133">
        <v>0</v>
      </c>
      <c r="J114" s="157">
        <f t="shared" si="10"/>
        <v>0</v>
      </c>
    </row>
    <row r="115" spans="1:10">
      <c r="A115" s="180"/>
      <c r="B115" s="182"/>
      <c r="C115" s="149"/>
      <c r="D115" s="133">
        <v>0</v>
      </c>
      <c r="E115" s="133">
        <v>0</v>
      </c>
      <c r="F115" s="133">
        <v>0</v>
      </c>
      <c r="G115" s="133">
        <v>0</v>
      </c>
      <c r="H115" s="133">
        <v>0</v>
      </c>
      <c r="I115" s="133">
        <v>0</v>
      </c>
      <c r="J115" s="157">
        <f t="shared" si="10"/>
        <v>0</v>
      </c>
    </row>
    <row r="116" spans="1:10">
      <c r="A116" s="180"/>
      <c r="B116" s="182"/>
      <c r="C116" s="149"/>
      <c r="D116" s="133">
        <v>0</v>
      </c>
      <c r="E116" s="133">
        <v>0</v>
      </c>
      <c r="F116" s="133">
        <v>0</v>
      </c>
      <c r="G116" s="133">
        <v>0</v>
      </c>
      <c r="H116" s="133">
        <v>0</v>
      </c>
      <c r="I116" s="133">
        <v>0</v>
      </c>
      <c r="J116" s="157">
        <f t="shared" si="10"/>
        <v>0</v>
      </c>
    </row>
    <row r="117" spans="1:10">
      <c r="A117" s="180"/>
      <c r="B117" s="182"/>
      <c r="C117" s="149"/>
      <c r="D117" s="133">
        <v>0</v>
      </c>
      <c r="E117" s="133">
        <v>0</v>
      </c>
      <c r="F117" s="133">
        <v>0</v>
      </c>
      <c r="G117" s="133">
        <v>0</v>
      </c>
      <c r="H117" s="133">
        <v>0</v>
      </c>
      <c r="I117" s="133">
        <v>0</v>
      </c>
      <c r="J117" s="157">
        <f t="shared" si="10"/>
        <v>0</v>
      </c>
    </row>
    <row r="118" spans="1:10">
      <c r="A118" s="180"/>
      <c r="B118" s="182"/>
      <c r="C118" s="149"/>
      <c r="D118" s="133">
        <v>0</v>
      </c>
      <c r="E118" s="133">
        <v>0</v>
      </c>
      <c r="F118" s="133">
        <v>0</v>
      </c>
      <c r="G118" s="133">
        <v>0</v>
      </c>
      <c r="H118" s="133">
        <v>0</v>
      </c>
      <c r="I118" s="133">
        <v>0</v>
      </c>
      <c r="J118" s="157">
        <f t="shared" si="10"/>
        <v>0</v>
      </c>
    </row>
    <row r="119" spans="1:10">
      <c r="A119" s="180"/>
      <c r="B119" s="182"/>
      <c r="C119" s="149"/>
      <c r="D119" s="133">
        <v>0</v>
      </c>
      <c r="E119" s="133">
        <v>0</v>
      </c>
      <c r="F119" s="133">
        <v>0</v>
      </c>
      <c r="G119" s="133">
        <v>0</v>
      </c>
      <c r="H119" s="133">
        <v>0</v>
      </c>
      <c r="I119" s="133">
        <v>0</v>
      </c>
      <c r="J119" s="157">
        <f t="shared" si="10"/>
        <v>0</v>
      </c>
    </row>
    <row r="120" spans="1:10">
      <c r="A120" s="180"/>
      <c r="B120" s="182"/>
      <c r="C120" s="149"/>
      <c r="D120" s="133">
        <v>0</v>
      </c>
      <c r="E120" s="133">
        <v>0</v>
      </c>
      <c r="F120" s="133">
        <v>0</v>
      </c>
      <c r="G120" s="133">
        <v>0</v>
      </c>
      <c r="H120" s="133">
        <v>0</v>
      </c>
      <c r="I120" s="133">
        <v>0</v>
      </c>
      <c r="J120" s="157">
        <f t="shared" si="10"/>
        <v>0</v>
      </c>
    </row>
    <row r="121" spans="1:10">
      <c r="A121" s="180"/>
      <c r="B121" s="182"/>
      <c r="C121" s="149"/>
      <c r="D121" s="133">
        <v>0</v>
      </c>
      <c r="E121" s="133">
        <v>0</v>
      </c>
      <c r="F121" s="133">
        <v>0</v>
      </c>
      <c r="G121" s="133">
        <v>0</v>
      </c>
      <c r="H121" s="133">
        <v>0</v>
      </c>
      <c r="I121" s="133">
        <v>0</v>
      </c>
      <c r="J121" s="157">
        <f t="shared" si="10"/>
        <v>0</v>
      </c>
    </row>
    <row r="122" spans="1:10">
      <c r="A122" s="180"/>
      <c r="B122" s="182"/>
      <c r="C122" s="149"/>
      <c r="D122" s="133">
        <v>0</v>
      </c>
      <c r="E122" s="133">
        <v>0</v>
      </c>
      <c r="F122" s="133">
        <v>0</v>
      </c>
      <c r="G122" s="133">
        <v>0</v>
      </c>
      <c r="H122" s="133">
        <v>0</v>
      </c>
      <c r="I122" s="133">
        <v>0</v>
      </c>
      <c r="J122" s="157">
        <f t="shared" si="10"/>
        <v>0</v>
      </c>
    </row>
    <row r="123" spans="1:10">
      <c r="A123" s="180"/>
      <c r="B123" s="182"/>
      <c r="C123" s="149"/>
      <c r="D123" s="133">
        <v>0</v>
      </c>
      <c r="E123" s="133">
        <v>0</v>
      </c>
      <c r="F123" s="133">
        <v>0</v>
      </c>
      <c r="G123" s="133">
        <v>0</v>
      </c>
      <c r="H123" s="133">
        <v>0</v>
      </c>
      <c r="I123" s="133">
        <v>0</v>
      </c>
      <c r="J123" s="157">
        <f t="shared" si="10"/>
        <v>0</v>
      </c>
    </row>
    <row r="124" spans="1:10">
      <c r="A124" s="180"/>
      <c r="B124" s="182"/>
      <c r="C124" s="149"/>
      <c r="D124" s="133">
        <v>0</v>
      </c>
      <c r="E124" s="133">
        <v>0</v>
      </c>
      <c r="F124" s="133">
        <v>0</v>
      </c>
      <c r="G124" s="133">
        <v>0</v>
      </c>
      <c r="H124" s="133">
        <v>0</v>
      </c>
      <c r="I124" s="133">
        <v>0</v>
      </c>
      <c r="J124" s="157">
        <f t="shared" si="10"/>
        <v>0</v>
      </c>
    </row>
    <row r="125" spans="1:10">
      <c r="A125" s="180"/>
      <c r="B125" s="182"/>
      <c r="C125" s="149"/>
      <c r="D125" s="133">
        <v>0</v>
      </c>
      <c r="E125" s="133">
        <v>0</v>
      </c>
      <c r="F125" s="133">
        <v>0</v>
      </c>
      <c r="G125" s="133">
        <v>0</v>
      </c>
      <c r="H125" s="133">
        <v>0</v>
      </c>
      <c r="I125" s="133">
        <v>0</v>
      </c>
      <c r="J125" s="157">
        <f t="shared" si="10"/>
        <v>0</v>
      </c>
    </row>
    <row r="126" spans="1:10">
      <c r="A126" s="180"/>
      <c r="B126" s="182"/>
      <c r="C126" s="149"/>
      <c r="D126" s="133">
        <v>0</v>
      </c>
      <c r="E126" s="133">
        <v>0</v>
      </c>
      <c r="F126" s="133">
        <v>0</v>
      </c>
      <c r="G126" s="133">
        <v>0</v>
      </c>
      <c r="H126" s="133">
        <v>0</v>
      </c>
      <c r="I126" s="133">
        <v>0</v>
      </c>
      <c r="J126" s="157">
        <f t="shared" si="10"/>
        <v>0</v>
      </c>
    </row>
    <row r="127" spans="1:10">
      <c r="A127" s="180"/>
      <c r="B127" s="183"/>
      <c r="C127" s="149"/>
      <c r="D127" s="133">
        <v>0</v>
      </c>
      <c r="E127" s="133">
        <v>0</v>
      </c>
      <c r="F127" s="133">
        <v>0</v>
      </c>
      <c r="G127" s="133">
        <v>0</v>
      </c>
      <c r="H127" s="133">
        <v>0</v>
      </c>
      <c r="I127" s="133">
        <v>0</v>
      </c>
      <c r="J127" s="157">
        <f>SUM(D127:I127)</f>
        <v>0</v>
      </c>
    </row>
    <row r="128" spans="1:10">
      <c r="A128" s="180"/>
      <c r="B128" s="183"/>
      <c r="C128" s="149"/>
      <c r="D128" s="133">
        <v>0</v>
      </c>
      <c r="E128" s="133">
        <v>0</v>
      </c>
      <c r="F128" s="133">
        <v>0</v>
      </c>
      <c r="G128" s="133">
        <v>0</v>
      </c>
      <c r="H128" s="133">
        <v>0</v>
      </c>
      <c r="I128" s="133">
        <v>0</v>
      </c>
      <c r="J128" s="157">
        <f t="shared" ref="J128:J179" si="11">SUM(D128:I128)</f>
        <v>0</v>
      </c>
    </row>
    <row r="129" spans="1:10">
      <c r="A129" s="180"/>
      <c r="B129" s="183"/>
      <c r="C129" s="149"/>
      <c r="D129" s="133">
        <v>0</v>
      </c>
      <c r="E129" s="133">
        <v>0</v>
      </c>
      <c r="F129" s="133">
        <v>0</v>
      </c>
      <c r="G129" s="133">
        <v>0</v>
      </c>
      <c r="H129" s="133">
        <v>0</v>
      </c>
      <c r="I129" s="133">
        <v>0</v>
      </c>
      <c r="J129" s="157">
        <f t="shared" si="11"/>
        <v>0</v>
      </c>
    </row>
    <row r="130" spans="1:10">
      <c r="A130" s="180"/>
      <c r="B130" s="183"/>
      <c r="C130" s="149"/>
      <c r="D130" s="133">
        <v>0</v>
      </c>
      <c r="E130" s="133">
        <v>0</v>
      </c>
      <c r="F130" s="133">
        <v>0</v>
      </c>
      <c r="G130" s="133">
        <v>0</v>
      </c>
      <c r="H130" s="133">
        <v>0</v>
      </c>
      <c r="I130" s="133">
        <v>0</v>
      </c>
      <c r="J130" s="157">
        <f t="shared" si="11"/>
        <v>0</v>
      </c>
    </row>
    <row r="131" spans="1:10">
      <c r="A131" s="180"/>
      <c r="B131" s="183"/>
      <c r="C131" s="149"/>
      <c r="D131" s="133">
        <v>0</v>
      </c>
      <c r="E131" s="133">
        <v>0</v>
      </c>
      <c r="F131" s="133">
        <v>0</v>
      </c>
      <c r="G131" s="133">
        <v>0</v>
      </c>
      <c r="H131" s="133">
        <v>0</v>
      </c>
      <c r="I131" s="133">
        <v>0</v>
      </c>
      <c r="J131" s="157">
        <f t="shared" si="11"/>
        <v>0</v>
      </c>
    </row>
    <row r="132" spans="1:10">
      <c r="A132" s="180"/>
      <c r="B132" s="183"/>
      <c r="C132" s="149"/>
      <c r="D132" s="133">
        <v>0</v>
      </c>
      <c r="E132" s="133">
        <v>0</v>
      </c>
      <c r="F132" s="133">
        <v>0</v>
      </c>
      <c r="G132" s="133">
        <v>0</v>
      </c>
      <c r="H132" s="133">
        <v>0</v>
      </c>
      <c r="I132" s="133">
        <v>0</v>
      </c>
      <c r="J132" s="157">
        <f t="shared" si="11"/>
        <v>0</v>
      </c>
    </row>
    <row r="133" spans="1:10">
      <c r="A133" s="180"/>
      <c r="B133" s="183"/>
      <c r="C133" s="149"/>
      <c r="D133" s="133">
        <v>0</v>
      </c>
      <c r="E133" s="133">
        <v>0</v>
      </c>
      <c r="F133" s="133">
        <v>0</v>
      </c>
      <c r="G133" s="133">
        <v>0</v>
      </c>
      <c r="H133" s="133">
        <v>0</v>
      </c>
      <c r="I133" s="133">
        <v>0</v>
      </c>
      <c r="J133" s="157">
        <f t="shared" si="11"/>
        <v>0</v>
      </c>
    </row>
    <row r="134" spans="1:10">
      <c r="A134" s="180"/>
      <c r="B134" s="183"/>
      <c r="C134" s="149"/>
      <c r="D134" s="133">
        <v>0</v>
      </c>
      <c r="E134" s="133">
        <v>0</v>
      </c>
      <c r="F134" s="133">
        <v>0</v>
      </c>
      <c r="G134" s="133">
        <v>0</v>
      </c>
      <c r="H134" s="133">
        <v>0</v>
      </c>
      <c r="I134" s="133">
        <v>0</v>
      </c>
      <c r="J134" s="157">
        <f t="shared" si="11"/>
        <v>0</v>
      </c>
    </row>
    <row r="135" spans="1:10">
      <c r="A135" s="180"/>
      <c r="B135" s="183"/>
      <c r="C135" s="149"/>
      <c r="D135" s="133">
        <v>0</v>
      </c>
      <c r="E135" s="133">
        <v>0</v>
      </c>
      <c r="F135" s="133">
        <v>0</v>
      </c>
      <c r="G135" s="133">
        <v>0</v>
      </c>
      <c r="H135" s="133">
        <v>0</v>
      </c>
      <c r="I135" s="133">
        <v>0</v>
      </c>
      <c r="J135" s="157">
        <f t="shared" si="11"/>
        <v>0</v>
      </c>
    </row>
    <row r="136" spans="1:10">
      <c r="A136" s="180"/>
      <c r="B136" s="183"/>
      <c r="C136" s="149"/>
      <c r="D136" s="133">
        <v>0</v>
      </c>
      <c r="E136" s="133">
        <v>0</v>
      </c>
      <c r="F136" s="133">
        <v>0</v>
      </c>
      <c r="G136" s="133">
        <v>0</v>
      </c>
      <c r="H136" s="133">
        <v>0</v>
      </c>
      <c r="I136" s="133">
        <v>0</v>
      </c>
      <c r="J136" s="157">
        <f t="shared" si="11"/>
        <v>0</v>
      </c>
    </row>
    <row r="137" spans="1:10">
      <c r="A137" s="180"/>
      <c r="B137" s="183"/>
      <c r="C137" s="149"/>
      <c r="D137" s="133">
        <v>0</v>
      </c>
      <c r="E137" s="133">
        <v>0</v>
      </c>
      <c r="F137" s="133">
        <v>0</v>
      </c>
      <c r="G137" s="133">
        <v>0</v>
      </c>
      <c r="H137" s="133">
        <v>0</v>
      </c>
      <c r="I137" s="133">
        <v>0</v>
      </c>
      <c r="J137" s="157">
        <f t="shared" si="11"/>
        <v>0</v>
      </c>
    </row>
    <row r="138" spans="1:10">
      <c r="A138" s="180"/>
      <c r="B138" s="183"/>
      <c r="C138" s="149"/>
      <c r="D138" s="133">
        <v>0</v>
      </c>
      <c r="E138" s="133">
        <v>0</v>
      </c>
      <c r="F138" s="133">
        <v>0</v>
      </c>
      <c r="G138" s="133">
        <v>0</v>
      </c>
      <c r="H138" s="133">
        <v>0</v>
      </c>
      <c r="I138" s="133">
        <v>0</v>
      </c>
      <c r="J138" s="157">
        <f t="shared" si="11"/>
        <v>0</v>
      </c>
    </row>
    <row r="139" spans="1:10">
      <c r="A139" s="180"/>
      <c r="B139" s="183"/>
      <c r="C139" s="149"/>
      <c r="D139" s="133">
        <v>0</v>
      </c>
      <c r="E139" s="133">
        <v>0</v>
      </c>
      <c r="F139" s="133">
        <v>0</v>
      </c>
      <c r="G139" s="133">
        <v>0</v>
      </c>
      <c r="H139" s="133">
        <v>0</v>
      </c>
      <c r="I139" s="133">
        <v>0</v>
      </c>
      <c r="J139" s="157">
        <f t="shared" si="11"/>
        <v>0</v>
      </c>
    </row>
    <row r="140" spans="1:10">
      <c r="A140" s="180"/>
      <c r="B140" s="183"/>
      <c r="C140" s="149"/>
      <c r="D140" s="133">
        <v>0</v>
      </c>
      <c r="E140" s="133">
        <v>0</v>
      </c>
      <c r="F140" s="133">
        <v>0</v>
      </c>
      <c r="G140" s="133">
        <v>0</v>
      </c>
      <c r="H140" s="133">
        <v>0</v>
      </c>
      <c r="I140" s="133">
        <v>0</v>
      </c>
      <c r="J140" s="157">
        <f t="shared" ref="J140" si="12">SUM(D140:I140)</f>
        <v>0</v>
      </c>
    </row>
    <row r="141" spans="1:10">
      <c r="A141" s="180"/>
      <c r="B141" s="183"/>
      <c r="C141" s="149"/>
      <c r="D141" s="133">
        <v>0</v>
      </c>
      <c r="E141" s="133">
        <v>0</v>
      </c>
      <c r="F141" s="133">
        <v>0</v>
      </c>
      <c r="G141" s="133">
        <v>0</v>
      </c>
      <c r="H141" s="133">
        <v>0</v>
      </c>
      <c r="I141" s="133">
        <v>0</v>
      </c>
      <c r="J141" s="157">
        <f t="shared" si="11"/>
        <v>0</v>
      </c>
    </row>
    <row r="142" spans="1:10">
      <c r="A142" s="180"/>
      <c r="B142" s="183"/>
      <c r="C142" s="149"/>
      <c r="D142" s="133">
        <v>0</v>
      </c>
      <c r="E142" s="133">
        <v>0</v>
      </c>
      <c r="F142" s="133">
        <v>0</v>
      </c>
      <c r="G142" s="133">
        <v>0</v>
      </c>
      <c r="H142" s="133">
        <v>0</v>
      </c>
      <c r="I142" s="133">
        <v>0</v>
      </c>
      <c r="J142" s="157">
        <f t="shared" ref="J142" si="13">SUM(D142:I142)</f>
        <v>0</v>
      </c>
    </row>
    <row r="143" spans="1:10">
      <c r="A143" s="180"/>
      <c r="B143" s="183"/>
      <c r="C143" s="149"/>
      <c r="D143" s="133">
        <v>0</v>
      </c>
      <c r="E143" s="133">
        <v>0</v>
      </c>
      <c r="F143" s="133">
        <v>0</v>
      </c>
      <c r="G143" s="133">
        <v>0</v>
      </c>
      <c r="H143" s="133">
        <v>0</v>
      </c>
      <c r="I143" s="133">
        <v>0</v>
      </c>
      <c r="J143" s="157">
        <f t="shared" si="11"/>
        <v>0</v>
      </c>
    </row>
    <row r="144" spans="1:10">
      <c r="A144" s="180"/>
      <c r="B144" s="183"/>
      <c r="C144" s="149"/>
      <c r="D144" s="133">
        <v>0</v>
      </c>
      <c r="E144" s="133">
        <v>0</v>
      </c>
      <c r="F144" s="133">
        <v>0</v>
      </c>
      <c r="G144" s="133">
        <v>0</v>
      </c>
      <c r="H144" s="133">
        <v>0</v>
      </c>
      <c r="I144" s="133">
        <v>0</v>
      </c>
      <c r="J144" s="157">
        <f t="shared" si="11"/>
        <v>0</v>
      </c>
    </row>
    <row r="145" spans="1:10">
      <c r="A145" s="180"/>
      <c r="B145" s="183"/>
      <c r="C145" s="149"/>
      <c r="D145" s="133">
        <v>0</v>
      </c>
      <c r="E145" s="133">
        <v>0</v>
      </c>
      <c r="F145" s="133">
        <v>0</v>
      </c>
      <c r="G145" s="133">
        <v>0</v>
      </c>
      <c r="H145" s="133">
        <v>0</v>
      </c>
      <c r="I145" s="133">
        <v>0</v>
      </c>
      <c r="J145" s="157">
        <f t="shared" si="11"/>
        <v>0</v>
      </c>
    </row>
    <row r="146" spans="1:10">
      <c r="A146" s="180"/>
      <c r="B146" s="183"/>
      <c r="C146" s="149"/>
      <c r="D146" s="133">
        <v>0</v>
      </c>
      <c r="E146" s="133">
        <v>0</v>
      </c>
      <c r="F146" s="133">
        <v>0</v>
      </c>
      <c r="G146" s="133">
        <v>0</v>
      </c>
      <c r="H146" s="133">
        <v>0</v>
      </c>
      <c r="I146" s="133">
        <v>0</v>
      </c>
      <c r="J146" s="157">
        <f t="shared" si="11"/>
        <v>0</v>
      </c>
    </row>
    <row r="147" spans="1:10">
      <c r="A147" s="180"/>
      <c r="B147" s="183"/>
      <c r="C147" s="149"/>
      <c r="D147" s="133">
        <v>0</v>
      </c>
      <c r="E147" s="133">
        <v>0</v>
      </c>
      <c r="F147" s="133">
        <v>0</v>
      </c>
      <c r="G147" s="133">
        <v>0</v>
      </c>
      <c r="H147" s="133">
        <v>0</v>
      </c>
      <c r="I147" s="133">
        <v>0</v>
      </c>
      <c r="J147" s="157">
        <f t="shared" si="11"/>
        <v>0</v>
      </c>
    </row>
    <row r="148" spans="1:10">
      <c r="A148" s="180"/>
      <c r="B148" s="183"/>
      <c r="C148" s="149"/>
      <c r="D148" s="133">
        <v>0</v>
      </c>
      <c r="E148" s="133">
        <v>0</v>
      </c>
      <c r="F148" s="133">
        <v>0</v>
      </c>
      <c r="G148" s="133">
        <v>0</v>
      </c>
      <c r="H148" s="133">
        <v>0</v>
      </c>
      <c r="I148" s="133">
        <v>0</v>
      </c>
      <c r="J148" s="157">
        <f t="shared" si="11"/>
        <v>0</v>
      </c>
    </row>
    <row r="149" spans="1:10">
      <c r="A149" s="180"/>
      <c r="B149" s="183"/>
      <c r="C149" s="149"/>
      <c r="D149" s="133">
        <v>0</v>
      </c>
      <c r="E149" s="133">
        <v>0</v>
      </c>
      <c r="F149" s="133">
        <v>0</v>
      </c>
      <c r="G149" s="133">
        <v>0</v>
      </c>
      <c r="H149" s="133">
        <v>0</v>
      </c>
      <c r="I149" s="133">
        <v>0</v>
      </c>
      <c r="J149" s="157">
        <f t="shared" si="11"/>
        <v>0</v>
      </c>
    </row>
    <row r="150" spans="1:10">
      <c r="A150" s="180"/>
      <c r="B150" s="183"/>
      <c r="C150" s="149"/>
      <c r="D150" s="133">
        <v>0</v>
      </c>
      <c r="E150" s="133">
        <v>0</v>
      </c>
      <c r="F150" s="133">
        <v>0</v>
      </c>
      <c r="G150" s="133">
        <v>0</v>
      </c>
      <c r="H150" s="133">
        <v>0</v>
      </c>
      <c r="I150" s="133">
        <v>0</v>
      </c>
      <c r="J150" s="157">
        <f t="shared" si="11"/>
        <v>0</v>
      </c>
    </row>
    <row r="151" spans="1:10">
      <c r="A151" s="180"/>
      <c r="B151" s="183"/>
      <c r="C151" s="149"/>
      <c r="D151" s="133">
        <v>0</v>
      </c>
      <c r="E151" s="133">
        <v>0</v>
      </c>
      <c r="F151" s="133">
        <v>0</v>
      </c>
      <c r="G151" s="133">
        <v>0</v>
      </c>
      <c r="H151" s="133">
        <v>0</v>
      </c>
      <c r="I151" s="133">
        <v>0</v>
      </c>
      <c r="J151" s="157">
        <f t="shared" si="11"/>
        <v>0</v>
      </c>
    </row>
    <row r="152" spans="1:10">
      <c r="A152" s="180"/>
      <c r="B152" s="183"/>
      <c r="C152" s="149"/>
      <c r="D152" s="133">
        <v>0</v>
      </c>
      <c r="E152" s="133">
        <v>0</v>
      </c>
      <c r="F152" s="133">
        <v>0</v>
      </c>
      <c r="G152" s="133">
        <v>0</v>
      </c>
      <c r="H152" s="133">
        <v>0</v>
      </c>
      <c r="I152" s="133">
        <v>0</v>
      </c>
      <c r="J152" s="157">
        <f t="shared" si="11"/>
        <v>0</v>
      </c>
    </row>
    <row r="153" spans="1:10">
      <c r="A153" s="180"/>
      <c r="B153" s="183"/>
      <c r="C153" s="149"/>
      <c r="D153" s="133">
        <v>0</v>
      </c>
      <c r="E153" s="133">
        <v>0</v>
      </c>
      <c r="F153" s="133">
        <v>0</v>
      </c>
      <c r="G153" s="133">
        <v>0</v>
      </c>
      <c r="H153" s="133">
        <v>0</v>
      </c>
      <c r="I153" s="133">
        <v>0</v>
      </c>
      <c r="J153" s="157">
        <f t="shared" si="11"/>
        <v>0</v>
      </c>
    </row>
    <row r="154" spans="1:10">
      <c r="A154" s="180"/>
      <c r="B154" s="183"/>
      <c r="C154" s="149"/>
      <c r="D154" s="133">
        <v>0</v>
      </c>
      <c r="E154" s="133">
        <v>0</v>
      </c>
      <c r="F154" s="133">
        <v>0</v>
      </c>
      <c r="G154" s="133">
        <v>0</v>
      </c>
      <c r="H154" s="133">
        <v>0</v>
      </c>
      <c r="I154" s="133">
        <v>0</v>
      </c>
      <c r="J154" s="157">
        <f t="shared" si="11"/>
        <v>0</v>
      </c>
    </row>
    <row r="155" spans="1:10">
      <c r="A155" s="180"/>
      <c r="B155" s="183"/>
      <c r="C155" s="149"/>
      <c r="D155" s="133">
        <v>0</v>
      </c>
      <c r="E155" s="133">
        <v>0</v>
      </c>
      <c r="F155" s="133">
        <v>0</v>
      </c>
      <c r="G155" s="133">
        <v>0</v>
      </c>
      <c r="H155" s="133">
        <v>0</v>
      </c>
      <c r="I155" s="133">
        <v>0</v>
      </c>
      <c r="J155" s="157">
        <f t="shared" si="11"/>
        <v>0</v>
      </c>
    </row>
    <row r="156" spans="1:10">
      <c r="A156" s="180"/>
      <c r="B156" s="183"/>
      <c r="C156" s="149"/>
      <c r="D156" s="133">
        <v>0</v>
      </c>
      <c r="E156" s="133">
        <v>0</v>
      </c>
      <c r="F156" s="133">
        <v>0</v>
      </c>
      <c r="G156" s="133">
        <v>0</v>
      </c>
      <c r="H156" s="133">
        <v>0</v>
      </c>
      <c r="I156" s="133">
        <v>0</v>
      </c>
      <c r="J156" s="157">
        <f t="shared" si="11"/>
        <v>0</v>
      </c>
    </row>
    <row r="157" spans="1:10">
      <c r="A157" s="180"/>
      <c r="B157" s="183"/>
      <c r="C157" s="149"/>
      <c r="D157" s="133">
        <v>0</v>
      </c>
      <c r="E157" s="133">
        <v>0</v>
      </c>
      <c r="F157" s="133">
        <v>0</v>
      </c>
      <c r="G157" s="133">
        <v>0</v>
      </c>
      <c r="H157" s="133">
        <v>0</v>
      </c>
      <c r="I157" s="133">
        <v>0</v>
      </c>
      <c r="J157" s="157">
        <f t="shared" si="11"/>
        <v>0</v>
      </c>
    </row>
    <row r="158" spans="1:10">
      <c r="A158" s="180"/>
      <c r="B158" s="183"/>
      <c r="C158" s="149"/>
      <c r="D158" s="133">
        <v>0</v>
      </c>
      <c r="E158" s="133">
        <v>0</v>
      </c>
      <c r="F158" s="133">
        <v>0</v>
      </c>
      <c r="G158" s="133">
        <v>0</v>
      </c>
      <c r="H158" s="133">
        <v>0</v>
      </c>
      <c r="I158" s="133">
        <v>0</v>
      </c>
      <c r="J158" s="157">
        <f t="shared" si="11"/>
        <v>0</v>
      </c>
    </row>
    <row r="159" spans="1:10">
      <c r="A159" s="180"/>
      <c r="B159" s="183"/>
      <c r="C159" s="149"/>
      <c r="D159" s="133">
        <v>0</v>
      </c>
      <c r="E159" s="133">
        <v>0</v>
      </c>
      <c r="F159" s="133">
        <v>0</v>
      </c>
      <c r="G159" s="133">
        <v>0</v>
      </c>
      <c r="H159" s="133">
        <v>0</v>
      </c>
      <c r="I159" s="133">
        <v>0</v>
      </c>
      <c r="J159" s="157">
        <f t="shared" si="11"/>
        <v>0</v>
      </c>
    </row>
    <row r="160" spans="1:10">
      <c r="A160" s="180"/>
      <c r="B160" s="183"/>
      <c r="C160" s="149"/>
      <c r="D160" s="133">
        <v>0</v>
      </c>
      <c r="E160" s="133">
        <v>0</v>
      </c>
      <c r="F160" s="133">
        <v>0</v>
      </c>
      <c r="G160" s="133">
        <v>0</v>
      </c>
      <c r="H160" s="133">
        <v>0</v>
      </c>
      <c r="I160" s="133">
        <v>0</v>
      </c>
      <c r="J160" s="157">
        <f t="shared" si="11"/>
        <v>0</v>
      </c>
    </row>
    <row r="161" spans="1:10">
      <c r="A161" s="180"/>
      <c r="B161" s="183"/>
      <c r="C161" s="149"/>
      <c r="D161" s="133">
        <v>0</v>
      </c>
      <c r="E161" s="133">
        <v>0</v>
      </c>
      <c r="F161" s="133">
        <v>0</v>
      </c>
      <c r="G161" s="133">
        <v>0</v>
      </c>
      <c r="H161" s="133">
        <v>0</v>
      </c>
      <c r="I161" s="133">
        <v>0</v>
      </c>
      <c r="J161" s="157">
        <f t="shared" si="11"/>
        <v>0</v>
      </c>
    </row>
    <row r="162" spans="1:10">
      <c r="A162" s="180"/>
      <c r="B162" s="183"/>
      <c r="C162" s="149"/>
      <c r="D162" s="133">
        <v>0</v>
      </c>
      <c r="E162" s="133">
        <v>0</v>
      </c>
      <c r="F162" s="133">
        <v>0</v>
      </c>
      <c r="G162" s="133">
        <v>0</v>
      </c>
      <c r="H162" s="133">
        <v>0</v>
      </c>
      <c r="I162" s="133">
        <v>0</v>
      </c>
      <c r="J162" s="157">
        <f t="shared" si="11"/>
        <v>0</v>
      </c>
    </row>
    <row r="163" spans="1:10">
      <c r="A163" s="180"/>
      <c r="B163" s="183"/>
      <c r="C163" s="149"/>
      <c r="D163" s="133">
        <v>0</v>
      </c>
      <c r="E163" s="133">
        <v>0</v>
      </c>
      <c r="F163" s="133">
        <v>0</v>
      </c>
      <c r="G163" s="133">
        <v>0</v>
      </c>
      <c r="H163" s="133">
        <v>0</v>
      </c>
      <c r="I163" s="133">
        <v>0</v>
      </c>
      <c r="J163" s="157">
        <f t="shared" si="11"/>
        <v>0</v>
      </c>
    </row>
    <row r="164" spans="1:10">
      <c r="A164" s="180"/>
      <c r="B164" s="183"/>
      <c r="C164" s="149"/>
      <c r="D164" s="133">
        <v>0</v>
      </c>
      <c r="E164" s="133">
        <v>0</v>
      </c>
      <c r="F164" s="133">
        <v>0</v>
      </c>
      <c r="G164" s="133">
        <v>0</v>
      </c>
      <c r="H164" s="133">
        <v>0</v>
      </c>
      <c r="I164" s="133">
        <v>0</v>
      </c>
      <c r="J164" s="157">
        <f t="shared" si="11"/>
        <v>0</v>
      </c>
    </row>
    <row r="165" spans="1:10">
      <c r="A165" s="180"/>
      <c r="B165" s="183"/>
      <c r="C165" s="149"/>
      <c r="D165" s="133">
        <v>0</v>
      </c>
      <c r="E165" s="133">
        <v>0</v>
      </c>
      <c r="F165" s="133">
        <v>0</v>
      </c>
      <c r="G165" s="133">
        <v>0</v>
      </c>
      <c r="H165" s="133">
        <v>0</v>
      </c>
      <c r="I165" s="133">
        <v>0</v>
      </c>
      <c r="J165" s="157">
        <f t="shared" si="11"/>
        <v>0</v>
      </c>
    </row>
    <row r="166" spans="1:10">
      <c r="A166" s="180"/>
      <c r="B166" s="183"/>
      <c r="C166" s="149"/>
      <c r="D166" s="133">
        <v>0</v>
      </c>
      <c r="E166" s="133">
        <v>0</v>
      </c>
      <c r="F166" s="133">
        <v>0</v>
      </c>
      <c r="G166" s="133">
        <v>0</v>
      </c>
      <c r="H166" s="133">
        <v>0</v>
      </c>
      <c r="I166" s="133">
        <v>0</v>
      </c>
      <c r="J166" s="157">
        <f t="shared" si="11"/>
        <v>0</v>
      </c>
    </row>
    <row r="167" spans="1:10">
      <c r="A167" s="180"/>
      <c r="B167" s="183"/>
      <c r="C167" s="149"/>
      <c r="D167" s="133">
        <v>0</v>
      </c>
      <c r="E167" s="133">
        <v>0</v>
      </c>
      <c r="F167" s="133">
        <v>0</v>
      </c>
      <c r="G167" s="133">
        <v>0</v>
      </c>
      <c r="H167" s="133">
        <v>0</v>
      </c>
      <c r="I167" s="133">
        <v>0</v>
      </c>
      <c r="J167" s="157">
        <f t="shared" si="11"/>
        <v>0</v>
      </c>
    </row>
    <row r="168" spans="1:10">
      <c r="A168" s="180"/>
      <c r="B168" s="183"/>
      <c r="C168" s="149"/>
      <c r="D168" s="133">
        <v>0</v>
      </c>
      <c r="E168" s="133">
        <v>0</v>
      </c>
      <c r="F168" s="133">
        <v>0</v>
      </c>
      <c r="G168" s="133">
        <v>0</v>
      </c>
      <c r="H168" s="133">
        <v>0</v>
      </c>
      <c r="I168" s="133">
        <v>0</v>
      </c>
      <c r="J168" s="157">
        <f t="shared" si="11"/>
        <v>0</v>
      </c>
    </row>
    <row r="169" spans="1:10">
      <c r="A169" s="180"/>
      <c r="B169" s="183"/>
      <c r="C169" s="149"/>
      <c r="D169" s="133">
        <v>0</v>
      </c>
      <c r="E169" s="133">
        <v>0</v>
      </c>
      <c r="F169" s="133">
        <v>0</v>
      </c>
      <c r="G169" s="133">
        <v>0</v>
      </c>
      <c r="H169" s="133">
        <v>0</v>
      </c>
      <c r="I169" s="133">
        <v>0</v>
      </c>
      <c r="J169" s="157">
        <f t="shared" si="11"/>
        <v>0</v>
      </c>
    </row>
    <row r="170" spans="1:10">
      <c r="A170" s="180"/>
      <c r="B170" s="183"/>
      <c r="C170" s="149"/>
      <c r="D170" s="133">
        <v>0</v>
      </c>
      <c r="E170" s="133">
        <v>0</v>
      </c>
      <c r="F170" s="133">
        <v>0</v>
      </c>
      <c r="G170" s="133">
        <v>0</v>
      </c>
      <c r="H170" s="133">
        <v>0</v>
      </c>
      <c r="I170" s="133">
        <v>0</v>
      </c>
      <c r="J170" s="157">
        <f t="shared" si="11"/>
        <v>0</v>
      </c>
    </row>
    <row r="171" spans="1:10">
      <c r="A171" s="180"/>
      <c r="B171" s="183"/>
      <c r="C171" s="149"/>
      <c r="D171" s="133">
        <v>0</v>
      </c>
      <c r="E171" s="133">
        <v>0</v>
      </c>
      <c r="F171" s="133">
        <v>0</v>
      </c>
      <c r="G171" s="133">
        <v>0</v>
      </c>
      <c r="H171" s="133">
        <v>0</v>
      </c>
      <c r="I171" s="133">
        <v>0</v>
      </c>
      <c r="J171" s="157">
        <f t="shared" si="11"/>
        <v>0</v>
      </c>
    </row>
    <row r="172" spans="1:10">
      <c r="A172" s="180"/>
      <c r="B172" s="183"/>
      <c r="C172" s="149"/>
      <c r="D172" s="133">
        <v>0</v>
      </c>
      <c r="E172" s="133">
        <v>0</v>
      </c>
      <c r="F172" s="133">
        <v>0</v>
      </c>
      <c r="G172" s="133">
        <v>0</v>
      </c>
      <c r="H172" s="133">
        <v>0</v>
      </c>
      <c r="I172" s="133">
        <v>0</v>
      </c>
      <c r="J172" s="157">
        <f t="shared" si="11"/>
        <v>0</v>
      </c>
    </row>
    <row r="173" spans="1:10">
      <c r="A173" s="180"/>
      <c r="B173" s="183"/>
      <c r="C173" s="149"/>
      <c r="D173" s="133">
        <v>0</v>
      </c>
      <c r="E173" s="133">
        <v>0</v>
      </c>
      <c r="F173" s="133">
        <v>0</v>
      </c>
      <c r="G173" s="133">
        <v>0</v>
      </c>
      <c r="H173" s="133">
        <v>0</v>
      </c>
      <c r="I173" s="133">
        <v>0</v>
      </c>
      <c r="J173" s="157">
        <f t="shared" si="11"/>
        <v>0</v>
      </c>
    </row>
    <row r="174" spans="1:10">
      <c r="A174" s="180"/>
      <c r="B174" s="183"/>
      <c r="C174" s="149"/>
      <c r="D174" s="133">
        <v>0</v>
      </c>
      <c r="E174" s="133">
        <v>0</v>
      </c>
      <c r="F174" s="133">
        <v>0</v>
      </c>
      <c r="G174" s="133">
        <v>0</v>
      </c>
      <c r="H174" s="133">
        <v>0</v>
      </c>
      <c r="I174" s="133">
        <v>0</v>
      </c>
      <c r="J174" s="157">
        <f t="shared" si="11"/>
        <v>0</v>
      </c>
    </row>
    <row r="175" spans="1:10">
      <c r="A175" s="180"/>
      <c r="B175" s="183"/>
      <c r="C175" s="149"/>
      <c r="D175" s="133">
        <v>0</v>
      </c>
      <c r="E175" s="133">
        <v>0</v>
      </c>
      <c r="F175" s="133">
        <v>0</v>
      </c>
      <c r="G175" s="133">
        <v>0</v>
      </c>
      <c r="H175" s="133">
        <v>0</v>
      </c>
      <c r="I175" s="133">
        <v>0</v>
      </c>
      <c r="J175" s="157">
        <f t="shared" si="11"/>
        <v>0</v>
      </c>
    </row>
    <row r="176" spans="1:10">
      <c r="A176" s="180"/>
      <c r="B176" s="183"/>
      <c r="C176" s="149"/>
      <c r="D176" s="133">
        <v>0</v>
      </c>
      <c r="E176" s="133">
        <v>0</v>
      </c>
      <c r="F176" s="133">
        <v>0</v>
      </c>
      <c r="G176" s="133">
        <v>0</v>
      </c>
      <c r="H176" s="133">
        <v>0</v>
      </c>
      <c r="I176" s="133">
        <v>0</v>
      </c>
      <c r="J176" s="157">
        <f t="shared" si="11"/>
        <v>0</v>
      </c>
    </row>
    <row r="177" spans="1:10">
      <c r="A177" s="180"/>
      <c r="B177" s="183"/>
      <c r="C177" s="149"/>
      <c r="D177" s="133">
        <v>0</v>
      </c>
      <c r="E177" s="133">
        <v>0</v>
      </c>
      <c r="F177" s="133">
        <v>0</v>
      </c>
      <c r="G177" s="133">
        <v>0</v>
      </c>
      <c r="H177" s="133">
        <v>0</v>
      </c>
      <c r="I177" s="133">
        <v>0</v>
      </c>
      <c r="J177" s="157">
        <f t="shared" si="11"/>
        <v>0</v>
      </c>
    </row>
    <row r="178" spans="1:10">
      <c r="A178" s="180"/>
      <c r="B178" s="183"/>
      <c r="C178" s="149"/>
      <c r="D178" s="133">
        <v>0</v>
      </c>
      <c r="E178" s="133">
        <v>0</v>
      </c>
      <c r="F178" s="133">
        <v>0</v>
      </c>
      <c r="G178" s="133">
        <v>0</v>
      </c>
      <c r="H178" s="133">
        <v>0</v>
      </c>
      <c r="I178" s="133">
        <v>0</v>
      </c>
      <c r="J178" s="157">
        <f t="shared" si="11"/>
        <v>0</v>
      </c>
    </row>
    <row r="179" spans="1:10">
      <c r="A179" s="180"/>
      <c r="B179" s="183"/>
      <c r="C179" s="149"/>
      <c r="D179" s="133">
        <v>0</v>
      </c>
      <c r="E179" s="133">
        <v>0</v>
      </c>
      <c r="F179" s="133">
        <v>0</v>
      </c>
      <c r="G179" s="133">
        <v>0</v>
      </c>
      <c r="H179" s="133">
        <v>0</v>
      </c>
      <c r="I179" s="133">
        <v>0</v>
      </c>
      <c r="J179" s="157">
        <f t="shared" si="11"/>
        <v>0</v>
      </c>
    </row>
    <row r="180" spans="1:10">
      <c r="A180" s="180"/>
      <c r="B180" s="183"/>
      <c r="C180" s="149"/>
      <c r="D180" s="133">
        <v>0</v>
      </c>
      <c r="E180" s="133">
        <v>0</v>
      </c>
      <c r="F180" s="133">
        <v>0</v>
      </c>
      <c r="G180" s="133">
        <v>0</v>
      </c>
      <c r="H180" s="133">
        <v>0</v>
      </c>
      <c r="I180" s="133">
        <v>0</v>
      </c>
      <c r="J180" s="157">
        <f t="shared" ref="J180:J181" si="14">SUM(D180:I180)</f>
        <v>0</v>
      </c>
    </row>
    <row r="181" spans="1:10" ht="15.75" thickBot="1">
      <c r="A181" s="181"/>
      <c r="B181" s="184"/>
      <c r="C181" s="161"/>
      <c r="D181" s="162">
        <v>0</v>
      </c>
      <c r="E181" s="162">
        <v>0</v>
      </c>
      <c r="F181" s="162">
        <v>0</v>
      </c>
      <c r="G181" s="162">
        <v>0</v>
      </c>
      <c r="H181" s="162">
        <v>0</v>
      </c>
      <c r="I181" s="162">
        <v>0</v>
      </c>
      <c r="J181" s="163">
        <f t="shared" si="14"/>
        <v>0</v>
      </c>
    </row>
    <row r="182" spans="1:10" s="62" customFormat="1" ht="30.75" customHeight="1" thickBot="1">
      <c r="A182" s="144" t="s">
        <v>251</v>
      </c>
      <c r="B182" s="159"/>
      <c r="C182" s="158">
        <f t="shared" ref="C182:I182" si="15">SUM(C2:C181)</f>
        <v>0</v>
      </c>
      <c r="D182" s="145">
        <f t="shared" si="15"/>
        <v>0</v>
      </c>
      <c r="E182" s="145">
        <f t="shared" si="15"/>
        <v>0</v>
      </c>
      <c r="F182" s="145">
        <f t="shared" si="15"/>
        <v>0</v>
      </c>
      <c r="G182" s="145">
        <f t="shared" si="15"/>
        <v>0</v>
      </c>
      <c r="H182" s="145">
        <f t="shared" si="15"/>
        <v>0</v>
      </c>
      <c r="I182" s="145">
        <f t="shared" si="15"/>
        <v>0</v>
      </c>
      <c r="J182" s="146">
        <f>SUM(D182:I182)</f>
        <v>0</v>
      </c>
    </row>
  </sheetData>
  <autoFilter ref="A1:J182" xr:uid="{0509DF19-71C8-42C9-9033-FB0A8141D7D2}"/>
  <sortState xmlns:xlrd2="http://schemas.microsoft.com/office/spreadsheetml/2017/richdata2" ref="L105:L108">
    <sortCondition descending="1" ref="L105:L108"/>
  </sortState>
  <phoneticPr fontId="44" type="noConversion"/>
  <conditionalFormatting sqref="B182:B1048576 B1">
    <cfRule type="duplicateValues" dxfId="75" priority="1671"/>
  </conditionalFormatting>
  <conditionalFormatting sqref="B182:B1048576">
    <cfRule type="duplicateValues" dxfId="74" priority="1675"/>
  </conditionalFormatting>
  <conditionalFormatting sqref="B143:B181 B105:B126 B75:B76 B2:B11 B86:B91 B21:B43 B61:B67 B128:B138">
    <cfRule type="duplicateValues" dxfId="73" priority="1775"/>
  </conditionalFormatting>
  <conditionalFormatting sqref="B75:B76">
    <cfRule type="duplicateValues" dxfId="72" priority="1779"/>
  </conditionalFormatting>
  <conditionalFormatting sqref="B63:B75">
    <cfRule type="duplicateValues" dxfId="71" priority="111"/>
  </conditionalFormatting>
  <conditionalFormatting sqref="B63:B75">
    <cfRule type="duplicateValues" dxfId="70" priority="112"/>
  </conditionalFormatting>
  <conditionalFormatting sqref="B89">
    <cfRule type="duplicateValues" dxfId="69" priority="109"/>
  </conditionalFormatting>
  <conditionalFormatting sqref="B89">
    <cfRule type="duplicateValues" dxfId="68" priority="110"/>
  </conditionalFormatting>
  <conditionalFormatting sqref="B143:B181 B86:B91 B2:B11 B105:B126 B21:B43 B61:B76 B128:B138">
    <cfRule type="duplicateValues" dxfId="67" priority="108"/>
  </conditionalFormatting>
  <conditionalFormatting sqref="B106">
    <cfRule type="duplicateValues" dxfId="66" priority="100"/>
  </conditionalFormatting>
  <conditionalFormatting sqref="B106">
    <cfRule type="duplicateValues" dxfId="65" priority="101"/>
  </conditionalFormatting>
  <conditionalFormatting sqref="B106">
    <cfRule type="duplicateValues" dxfId="64" priority="97"/>
  </conditionalFormatting>
  <conditionalFormatting sqref="B106">
    <cfRule type="duplicateValues" dxfId="63" priority="98"/>
  </conditionalFormatting>
  <conditionalFormatting sqref="B106">
    <cfRule type="duplicateValues" dxfId="62" priority="99"/>
  </conditionalFormatting>
  <conditionalFormatting sqref="B106:B121">
    <cfRule type="duplicateValues" dxfId="61" priority="83"/>
  </conditionalFormatting>
  <conditionalFormatting sqref="B139">
    <cfRule type="duplicateValues" dxfId="60" priority="79"/>
  </conditionalFormatting>
  <conditionalFormatting sqref="B142">
    <cfRule type="duplicateValues" dxfId="59" priority="77"/>
  </conditionalFormatting>
  <conditionalFormatting sqref="B142">
    <cfRule type="duplicateValues" dxfId="58" priority="76"/>
  </conditionalFormatting>
  <conditionalFormatting sqref="B77:B83">
    <cfRule type="duplicateValues" dxfId="57" priority="74"/>
  </conditionalFormatting>
  <conditionalFormatting sqref="B77:B83">
    <cfRule type="duplicateValues" dxfId="56" priority="75"/>
  </conditionalFormatting>
  <conditionalFormatting sqref="B77:B83">
    <cfRule type="duplicateValues" dxfId="55" priority="73"/>
  </conditionalFormatting>
  <conditionalFormatting sqref="B84">
    <cfRule type="duplicateValues" dxfId="54" priority="68"/>
  </conditionalFormatting>
  <conditionalFormatting sqref="B84">
    <cfRule type="duplicateValues" dxfId="53" priority="69"/>
  </conditionalFormatting>
  <conditionalFormatting sqref="B84">
    <cfRule type="duplicateValues" dxfId="52" priority="67"/>
  </conditionalFormatting>
  <conditionalFormatting sqref="B85">
    <cfRule type="duplicateValues" dxfId="51" priority="65"/>
  </conditionalFormatting>
  <conditionalFormatting sqref="B85">
    <cfRule type="duplicateValues" dxfId="50" priority="66"/>
  </conditionalFormatting>
  <conditionalFormatting sqref="B85">
    <cfRule type="duplicateValues" dxfId="49" priority="64"/>
  </conditionalFormatting>
  <conditionalFormatting sqref="B140:B141">
    <cfRule type="duplicateValues" dxfId="48" priority="63"/>
  </conditionalFormatting>
  <conditionalFormatting sqref="B128:B1048576 B93:B126 B61:B91 B1:B11 B21:B43">
    <cfRule type="duplicateValues" dxfId="47" priority="61"/>
  </conditionalFormatting>
  <conditionalFormatting sqref="B17:B20 B15">
    <cfRule type="duplicateValues" dxfId="46" priority="59"/>
  </conditionalFormatting>
  <conditionalFormatting sqref="B15">
    <cfRule type="duplicateValues" dxfId="45" priority="58"/>
  </conditionalFormatting>
  <conditionalFormatting sqref="B17">
    <cfRule type="duplicateValues" dxfId="44" priority="56"/>
  </conditionalFormatting>
  <conditionalFormatting sqref="B17">
    <cfRule type="duplicateValues" dxfId="43" priority="57"/>
  </conditionalFormatting>
  <conditionalFormatting sqref="B17">
    <cfRule type="duplicateValues" dxfId="42" priority="53"/>
  </conditionalFormatting>
  <conditionalFormatting sqref="B17">
    <cfRule type="duplicateValues" dxfId="41" priority="54"/>
  </conditionalFormatting>
  <conditionalFormatting sqref="B17">
    <cfRule type="duplicateValues" dxfId="40" priority="55"/>
  </conditionalFormatting>
  <conditionalFormatting sqref="B12:B14">
    <cfRule type="duplicateValues" dxfId="39" priority="49"/>
  </conditionalFormatting>
  <conditionalFormatting sqref="B12:B14">
    <cfRule type="duplicateValues" dxfId="38" priority="48"/>
  </conditionalFormatting>
  <conditionalFormatting sqref="B12:B14">
    <cfRule type="duplicateValues" dxfId="37" priority="50"/>
  </conditionalFormatting>
  <conditionalFormatting sqref="B12:B14">
    <cfRule type="duplicateValues" dxfId="36" priority="51"/>
  </conditionalFormatting>
  <conditionalFormatting sqref="B12:B14">
    <cfRule type="duplicateValues" dxfId="35" priority="47"/>
  </conditionalFormatting>
  <conditionalFormatting sqref="B12:B15 B17:B20">
    <cfRule type="duplicateValues" dxfId="34" priority="46"/>
  </conditionalFormatting>
  <conditionalFormatting sqref="B105">
    <cfRule type="duplicateValues" dxfId="33" priority="1781"/>
  </conditionalFormatting>
  <conditionalFormatting sqref="B93:B104">
    <cfRule type="duplicateValues" dxfId="32" priority="1789"/>
  </conditionalFormatting>
  <conditionalFormatting sqref="B51">
    <cfRule type="duplicateValues" dxfId="31" priority="39"/>
  </conditionalFormatting>
  <conditionalFormatting sqref="B51">
    <cfRule type="duplicateValues" dxfId="30" priority="38"/>
  </conditionalFormatting>
  <conditionalFormatting sqref="B51">
    <cfRule type="duplicateValues" dxfId="29" priority="37"/>
  </conditionalFormatting>
  <conditionalFormatting sqref="B122:B126">
    <cfRule type="duplicateValues" dxfId="28" priority="1802"/>
  </conditionalFormatting>
  <conditionalFormatting sqref="B92">
    <cfRule type="duplicateValues" dxfId="27" priority="26"/>
  </conditionalFormatting>
  <conditionalFormatting sqref="B92">
    <cfRule type="duplicateValues" dxfId="26" priority="27"/>
  </conditionalFormatting>
  <conditionalFormatting sqref="B127">
    <cfRule type="duplicateValues" dxfId="25" priority="25"/>
  </conditionalFormatting>
  <conditionalFormatting sqref="B127">
    <cfRule type="duplicateValues" dxfId="24" priority="24"/>
  </conditionalFormatting>
  <conditionalFormatting sqref="B127">
    <cfRule type="duplicateValues" dxfId="23" priority="23"/>
  </conditionalFormatting>
  <conditionalFormatting sqref="B52">
    <cfRule type="duplicateValues" dxfId="22" priority="22"/>
  </conditionalFormatting>
  <conditionalFormatting sqref="B52">
    <cfRule type="duplicateValues" dxfId="21" priority="21"/>
  </conditionalFormatting>
  <conditionalFormatting sqref="B53">
    <cfRule type="duplicateValues" dxfId="20" priority="20"/>
  </conditionalFormatting>
  <conditionalFormatting sqref="B53">
    <cfRule type="duplicateValues" dxfId="19" priority="19"/>
  </conditionalFormatting>
  <conditionalFormatting sqref="B54">
    <cfRule type="duplicateValues" dxfId="18" priority="18"/>
  </conditionalFormatting>
  <conditionalFormatting sqref="B54">
    <cfRule type="duplicateValues" dxfId="17" priority="17"/>
  </conditionalFormatting>
  <conditionalFormatting sqref="B55">
    <cfRule type="duplicateValues" dxfId="16" priority="16"/>
  </conditionalFormatting>
  <conditionalFormatting sqref="B55">
    <cfRule type="duplicateValues" dxfId="15" priority="15"/>
  </conditionalFormatting>
  <conditionalFormatting sqref="B56">
    <cfRule type="duplicateValues" dxfId="14" priority="14"/>
  </conditionalFormatting>
  <conditionalFormatting sqref="B56">
    <cfRule type="duplicateValues" dxfId="13" priority="13"/>
  </conditionalFormatting>
  <conditionalFormatting sqref="B57">
    <cfRule type="duplicateValues" dxfId="12" priority="12"/>
  </conditionalFormatting>
  <conditionalFormatting sqref="B57">
    <cfRule type="duplicateValues" dxfId="11" priority="11"/>
  </conditionalFormatting>
  <conditionalFormatting sqref="B58">
    <cfRule type="duplicateValues" dxfId="10" priority="10"/>
  </conditionalFormatting>
  <conditionalFormatting sqref="B58">
    <cfRule type="duplicateValues" dxfId="9" priority="9"/>
  </conditionalFormatting>
  <conditionalFormatting sqref="B59">
    <cfRule type="duplicateValues" dxfId="8" priority="8"/>
  </conditionalFormatting>
  <conditionalFormatting sqref="B59">
    <cfRule type="duplicateValues" dxfId="7" priority="7"/>
  </conditionalFormatting>
  <conditionalFormatting sqref="B60">
    <cfRule type="duplicateValues" dxfId="6" priority="6"/>
  </conditionalFormatting>
  <conditionalFormatting sqref="B60">
    <cfRule type="duplicateValues" dxfId="5" priority="5"/>
  </conditionalFormatting>
  <conditionalFormatting sqref="B44:B50">
    <cfRule type="duplicateValues" dxfId="4" priority="1825"/>
  </conditionalFormatting>
  <conditionalFormatting sqref="B16">
    <cfRule type="duplicateValues" dxfId="3" priority="3"/>
  </conditionalFormatting>
  <conditionalFormatting sqref="B16">
    <cfRule type="duplicateValues" dxfId="2" priority="4"/>
  </conditionalFormatting>
  <conditionalFormatting sqref="B16">
    <cfRule type="duplicateValues" dxfId="1" priority="2"/>
  </conditionalFormatting>
  <conditionalFormatting sqref="B1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70"/>
  <sheetViews>
    <sheetView zoomScale="90" zoomScaleNormal="90" workbookViewId="0">
      <selection activeCell="D69" sqref="D69"/>
    </sheetView>
  </sheetViews>
  <sheetFormatPr defaultColWidth="9.140625" defaultRowHeight="15"/>
  <cols>
    <col min="1" max="1" width="21.140625" style="18" bestFit="1" customWidth="1"/>
    <col min="2" max="4" width="13.7109375" style="18" customWidth="1"/>
    <col min="5" max="6" width="12.7109375" style="18" customWidth="1"/>
    <col min="7" max="9" width="15.140625" style="18" customWidth="1"/>
    <col min="10" max="16384" width="9.140625" style="18"/>
  </cols>
  <sheetData>
    <row r="1" spans="1:6" s="11" customFormat="1" ht="44.25" customHeight="1">
      <c r="A1" s="204" t="s">
        <v>252</v>
      </c>
      <c r="B1" s="205"/>
      <c r="C1" s="205"/>
      <c r="D1" s="206"/>
      <c r="E1" s="26" t="s">
        <v>183</v>
      </c>
      <c r="F1" s="140">
        <f>'BoQ from Engineer'!E3</f>
        <v>0</v>
      </c>
    </row>
    <row r="2" spans="1:6" s="17" customFormat="1" ht="42" customHeight="1">
      <c r="A2" s="139" t="s">
        <v>253</v>
      </c>
      <c r="B2" s="140" t="s">
        <v>254</v>
      </c>
      <c r="C2" s="140" t="s">
        <v>255</v>
      </c>
      <c r="D2" s="140" t="s">
        <v>251</v>
      </c>
    </row>
    <row r="3" spans="1:6" s="17" customFormat="1" ht="42" customHeight="1">
      <c r="A3" s="19" t="s">
        <v>256</v>
      </c>
      <c r="B3" s="28">
        <f>GETPIVOTDATA("Extended Price",$A$67,"Category","Material")</f>
        <v>0</v>
      </c>
      <c r="C3" s="28">
        <f>GETPIVOTDATA("Extended Price",$A$67,"Category","Installation")</f>
        <v>0</v>
      </c>
      <c r="D3" s="141">
        <f>SUM(B3:C3)</f>
        <v>0</v>
      </c>
    </row>
    <row r="4" spans="1:6" ht="42" customHeight="1">
      <c r="A4" s="19" t="s">
        <v>257</v>
      </c>
      <c r="B4" s="28" t="e">
        <f>B3/$F$1</f>
        <v>#DIV/0!</v>
      </c>
      <c r="C4" s="28" t="e">
        <f t="shared" ref="C4:D4" si="0">C3/$F$1</f>
        <v>#DIV/0!</v>
      </c>
      <c r="D4" s="142" t="e">
        <f t="shared" si="0"/>
        <v>#DIV/0!</v>
      </c>
    </row>
    <row r="67" spans="1:5" s="126" customFormat="1" ht="15.75">
      <c r="A67" s="207" t="s">
        <v>258</v>
      </c>
      <c r="B67" s="207" t="s">
        <v>259</v>
      </c>
      <c r="C67" s="207"/>
      <c r="D67" s="207"/>
      <c r="E67" s="207"/>
    </row>
    <row r="68" spans="1:5" s="129" customFormat="1" ht="15.75">
      <c r="A68" s="127"/>
      <c r="B68" s="128" t="s">
        <v>254</v>
      </c>
      <c r="C68" s="128" t="s">
        <v>255</v>
      </c>
      <c r="D68" s="128">
        <v>0</v>
      </c>
      <c r="E68" s="128" t="s">
        <v>260</v>
      </c>
    </row>
    <row r="69" spans="1:5" s="129" customFormat="1" ht="15.75">
      <c r="A69" s="130" t="s">
        <v>251</v>
      </c>
      <c r="B69" s="131">
        <v>0</v>
      </c>
      <c r="C69" s="131">
        <v>0</v>
      </c>
      <c r="D69" s="131">
        <v>0</v>
      </c>
      <c r="E69" s="131">
        <v>0</v>
      </c>
    </row>
    <row r="70" spans="1:5" s="132" customFormat="1"/>
  </sheetData>
  <mergeCells count="1">
    <mergeCell ref="A1:D1"/>
  </mergeCell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50"/>
  <sheetViews>
    <sheetView topLeftCell="A25" workbookViewId="0">
      <selection activeCell="C33" sqref="C33"/>
    </sheetView>
  </sheetViews>
  <sheetFormatPr defaultColWidth="9.140625" defaultRowHeight="12"/>
  <cols>
    <col min="1" max="1" width="13.42578125" style="45" customWidth="1"/>
    <col min="2" max="2" width="19.5703125" style="5" bestFit="1" customWidth="1"/>
    <col min="3" max="3" width="70.42578125" style="5" customWidth="1"/>
    <col min="4" max="4" width="18.85546875" style="8" bestFit="1" customWidth="1"/>
    <col min="5" max="5" width="9.140625" style="8"/>
    <col min="6" max="6" width="9.140625" style="10"/>
    <col min="7" max="7" width="12.140625" style="6" customWidth="1"/>
    <col min="8" max="8" width="18.7109375" style="38" bestFit="1" customWidth="1"/>
    <col min="9" max="9" width="18.85546875" style="8" bestFit="1" customWidth="1"/>
    <col min="10" max="16384" width="9.140625" style="5"/>
  </cols>
  <sheetData>
    <row r="1" spans="1:9" s="2" customFormat="1" ht="40.5" customHeight="1">
      <c r="A1" s="42"/>
      <c r="B1" s="13" t="s">
        <v>75</v>
      </c>
      <c r="C1" s="12" t="s">
        <v>76</v>
      </c>
      <c r="D1" s="12" t="s">
        <v>77</v>
      </c>
      <c r="E1" s="12" t="s">
        <v>78</v>
      </c>
      <c r="F1" s="14" t="s">
        <v>79</v>
      </c>
      <c r="G1" s="15" t="s">
        <v>80</v>
      </c>
      <c r="H1" s="35" t="s">
        <v>81</v>
      </c>
      <c r="I1" s="12" t="s">
        <v>259</v>
      </c>
    </row>
    <row r="2" spans="1:9" s="4" customFormat="1">
      <c r="A2" s="43" t="str">
        <f>'Hex Material'!A2</f>
        <v>FDH and FAT</v>
      </c>
      <c r="B2" s="43">
        <f>'Hex Material'!B2</f>
        <v>0</v>
      </c>
      <c r="C2" s="43">
        <f>'Hex Material'!C2</f>
        <v>0</v>
      </c>
      <c r="D2" s="43">
        <f>'Hex Material'!D2</f>
        <v>0</v>
      </c>
      <c r="E2" s="43">
        <f>'Hex Material'!E2</f>
        <v>0</v>
      </c>
      <c r="F2" s="43">
        <f>'Hex Material'!F2</f>
        <v>0</v>
      </c>
      <c r="G2" s="43">
        <f>'Hex Material'!G2</f>
        <v>0</v>
      </c>
      <c r="H2" s="43">
        <f>'Hex Material'!H2</f>
        <v>0</v>
      </c>
      <c r="I2" s="7" t="s">
        <v>254</v>
      </c>
    </row>
    <row r="3" spans="1:9" s="4" customFormat="1">
      <c r="A3" s="43">
        <f>'Hex Material'!A3</f>
        <v>0</v>
      </c>
      <c r="B3" s="43" t="str">
        <f>'Hex Material'!B3</f>
        <v>NCD507500</v>
      </c>
      <c r="C3" s="43" t="str">
        <f>'Hex Material'!C3</f>
        <v>FDH 48 for pedestal use</v>
      </c>
      <c r="D3" s="43">
        <f>'Hex Material'!D3</f>
        <v>1</v>
      </c>
      <c r="E3" s="43" t="str">
        <f>'Hex Material'!E3</f>
        <v>pcs</v>
      </c>
      <c r="F3" s="43">
        <f>'Hex Material'!F3</f>
        <v>0</v>
      </c>
      <c r="G3" s="43">
        <f>'Hex Material'!G3</f>
        <v>625</v>
      </c>
      <c r="H3" s="43">
        <f>'Hex Material'!H3</f>
        <v>0</v>
      </c>
      <c r="I3" s="7" t="s">
        <v>254</v>
      </c>
    </row>
    <row r="4" spans="1:9" s="4" customFormat="1">
      <c r="A4" s="43">
        <f>'Hex Material'!A4</f>
        <v>0</v>
      </c>
      <c r="B4" s="43" t="str">
        <f>'Hex Material'!B4</f>
        <v>HSXA136107/2</v>
      </c>
      <c r="C4" s="43" t="str">
        <f>'Hex Material'!C4</f>
        <v>Mounting bracket kit for NCD507</v>
      </c>
      <c r="D4" s="43">
        <f>'Hex Material'!D4</f>
        <v>1</v>
      </c>
      <c r="E4" s="43" t="str">
        <f>'Hex Material'!E4</f>
        <v>pcs</v>
      </c>
      <c r="F4" s="43">
        <f>'Hex Material'!F4</f>
        <v>0</v>
      </c>
      <c r="G4" s="43">
        <f>'Hex Material'!G4</f>
        <v>150</v>
      </c>
      <c r="H4" s="43">
        <f>'Hex Material'!H4</f>
        <v>0</v>
      </c>
      <c r="I4" s="7" t="s">
        <v>254</v>
      </c>
    </row>
    <row r="5" spans="1:9" s="4" customFormat="1">
      <c r="A5" s="43">
        <f>'Hex Material'!A5</f>
        <v>0</v>
      </c>
      <c r="B5" s="43" t="str">
        <f>'Hex Material'!B5</f>
        <v>3/NBD116200/1</v>
      </c>
      <c r="C5" s="43" t="str">
        <f>'Hex Material'!C5</f>
        <v>FDH 96 for pedestal use</v>
      </c>
      <c r="D5" s="43">
        <f>'Hex Material'!D5</f>
        <v>1</v>
      </c>
      <c r="E5" s="43" t="str">
        <f>'Hex Material'!E5</f>
        <v>pcs</v>
      </c>
      <c r="F5" s="43">
        <f>'Hex Material'!F5</f>
        <v>0</v>
      </c>
      <c r="G5" s="43">
        <f>'Hex Material'!G5</f>
        <v>825</v>
      </c>
      <c r="H5" s="43">
        <f>'Hex Material'!H5</f>
        <v>0</v>
      </c>
      <c r="I5" s="7" t="s">
        <v>254</v>
      </c>
    </row>
    <row r="6" spans="1:9" s="4" customFormat="1">
      <c r="A6" s="43">
        <f>'Hex Material'!A6</f>
        <v>0</v>
      </c>
      <c r="B6" s="43" t="str">
        <f>'Hex Material'!B6</f>
        <v>HSXA136107/3</v>
      </c>
      <c r="C6" s="43" t="str">
        <f>'Hex Material'!C6</f>
        <v xml:space="preserve">Mounting Bracket kit for 3/NBD116200/1 </v>
      </c>
      <c r="D6" s="43">
        <f>'Hex Material'!D6</f>
        <v>1</v>
      </c>
      <c r="E6" s="43" t="str">
        <f>'Hex Material'!E6</f>
        <v>pcs</v>
      </c>
      <c r="F6" s="43">
        <f>'Hex Material'!F6</f>
        <v>0</v>
      </c>
      <c r="G6" s="43">
        <f>'Hex Material'!G6</f>
        <v>175</v>
      </c>
      <c r="H6" s="43">
        <f>'Hex Material'!H6</f>
        <v>0</v>
      </c>
      <c r="I6" s="7" t="s">
        <v>254</v>
      </c>
    </row>
    <row r="7" spans="1:9" s="4" customFormat="1">
      <c r="A7" s="43">
        <f>'Hex Material'!A7</f>
        <v>0</v>
      </c>
      <c r="B7" s="43" t="str">
        <f>'Hex Material'!B7</f>
        <v>HSXA136107/1</v>
      </c>
      <c r="C7" s="43" t="str">
        <f>'Hex Material'!C7</f>
        <v>12" Pedestal in ground expanded</v>
      </c>
      <c r="D7" s="43">
        <f>'Hex Material'!D7</f>
        <v>1</v>
      </c>
      <c r="E7" s="43" t="str">
        <f>'Hex Material'!E7</f>
        <v>pcs</v>
      </c>
      <c r="F7" s="43">
        <f>'Hex Material'!F7</f>
        <v>0</v>
      </c>
      <c r="G7" s="43">
        <f>'Hex Material'!G7</f>
        <v>245</v>
      </c>
      <c r="H7" s="43">
        <f>'Hex Material'!H7</f>
        <v>0</v>
      </c>
      <c r="I7" s="7" t="s">
        <v>254</v>
      </c>
    </row>
    <row r="8" spans="1:9" s="4" customFormat="1">
      <c r="A8" s="43">
        <f>'Hex Material'!A8</f>
        <v>0</v>
      </c>
      <c r="B8" s="43" t="str">
        <f>'Hex Material'!B8</f>
        <v>HSXA136107/4</v>
      </c>
      <c r="C8" s="43" t="str">
        <f>'Hex Material'!C8</f>
        <v>Stake mounting assembly 42"</v>
      </c>
      <c r="D8" s="43">
        <f>'Hex Material'!D8</f>
        <v>1</v>
      </c>
      <c r="E8" s="43" t="str">
        <f>'Hex Material'!E8</f>
        <v>pcs</v>
      </c>
      <c r="F8" s="43">
        <f>'Hex Material'!F8</f>
        <v>0</v>
      </c>
      <c r="G8" s="43">
        <f>'Hex Material'!G8</f>
        <v>19.5</v>
      </c>
      <c r="H8" s="43">
        <f>'Hex Material'!H8</f>
        <v>0</v>
      </c>
      <c r="I8" s="7" t="s">
        <v>254</v>
      </c>
    </row>
    <row r="9" spans="1:9" s="4" customFormat="1">
      <c r="A9" s="43">
        <f>'Hex Material'!A9</f>
        <v>0</v>
      </c>
      <c r="B9" s="43" t="str">
        <f>'Hex Material'!B9</f>
        <v>HNA00005</v>
      </c>
      <c r="C9" s="43" t="str">
        <f>'Hex Material'!C9</f>
        <v>FDH 96 cabinet with backboard and adapters</v>
      </c>
      <c r="D9" s="43">
        <f>'Hex Material'!D9</f>
        <v>1</v>
      </c>
      <c r="E9" s="43" t="str">
        <f>'Hex Material'!E9</f>
        <v>pcs</v>
      </c>
      <c r="F9" s="43">
        <f>'Hex Material'!F9</f>
        <v>0</v>
      </c>
      <c r="G9" s="43">
        <f>'Hex Material'!G9</f>
        <v>1785</v>
      </c>
      <c r="H9" s="43">
        <f>'Hex Material'!H9</f>
        <v>0</v>
      </c>
      <c r="I9" s="7" t="s">
        <v>254</v>
      </c>
    </row>
    <row r="10" spans="1:9" s="4" customFormat="1">
      <c r="A10" s="43">
        <f>'Hex Material'!A10</f>
        <v>0</v>
      </c>
      <c r="B10" s="43" t="str">
        <f>'Hex Material'!B10</f>
        <v>2/NBD116200/1</v>
      </c>
      <c r="C10" s="43" t="str">
        <f>'Hex Material'!C10</f>
        <v>FDH Street  Cabinet, BASIC EMPTY / 288 FDH</v>
      </c>
      <c r="D10" s="43">
        <f>'Hex Material'!D10</f>
        <v>1</v>
      </c>
      <c r="E10" s="43" t="str">
        <f>'Hex Material'!E10</f>
        <v>pcs</v>
      </c>
      <c r="F10" s="43">
        <f>'Hex Material'!F10</f>
        <v>0</v>
      </c>
      <c r="G10" s="43">
        <f>'Hex Material'!G10</f>
        <v>1500</v>
      </c>
      <c r="H10" s="43">
        <f>'Hex Material'!H10</f>
        <v>0</v>
      </c>
      <c r="I10" s="7" t="s">
        <v>254</v>
      </c>
    </row>
    <row r="11" spans="1:9" s="4" customFormat="1">
      <c r="A11" s="43">
        <f>'Hex Material'!A11</f>
        <v>0</v>
      </c>
      <c r="B11" s="43" t="str">
        <f>'Hex Material'!B11</f>
        <v>NBL9012001/1</v>
      </c>
      <c r="C11" s="43" t="str">
        <f>'Hex Material'!C11</f>
        <v xml:space="preserve">FIBER ADAPTER TRAY ( EMPTY)             </v>
      </c>
      <c r="D11" s="43">
        <f>'Hex Material'!D11</f>
        <v>1</v>
      </c>
      <c r="E11" s="43" t="str">
        <f>'Hex Material'!E11</f>
        <v>pcs</v>
      </c>
      <c r="F11" s="43">
        <f>'Hex Material'!F11</f>
        <v>0</v>
      </c>
      <c r="G11" s="43">
        <f>'Hex Material'!G11</f>
        <v>15</v>
      </c>
      <c r="H11" s="43">
        <f>'Hex Material'!H11</f>
        <v>0</v>
      </c>
      <c r="I11" s="7" t="s">
        <v>254</v>
      </c>
    </row>
    <row r="12" spans="1:9" s="4" customFormat="1">
      <c r="A12" s="43">
        <f>'Hex Material'!A12</f>
        <v>0</v>
      </c>
      <c r="B12" s="43" t="str">
        <f>'Hex Material'!B12</f>
        <v>RNT99210/24</v>
      </c>
      <c r="C12" s="43" t="str">
        <f>'Hex Material'!C12</f>
        <v>Adapter SC/APC with shutter, no flange</v>
      </c>
      <c r="D12" s="43">
        <f>'Hex Material'!D12</f>
        <v>1</v>
      </c>
      <c r="E12" s="43" t="str">
        <f>'Hex Material'!E12</f>
        <v>pcs</v>
      </c>
      <c r="F12" s="43">
        <f>'Hex Material'!F12</f>
        <v>0</v>
      </c>
      <c r="G12" s="43">
        <f>'Hex Material'!G12</f>
        <v>1.59</v>
      </c>
      <c r="H12" s="43">
        <f>'Hex Material'!H12</f>
        <v>0</v>
      </c>
      <c r="I12" s="7" t="s">
        <v>254</v>
      </c>
    </row>
    <row r="13" spans="1:9" s="4" customFormat="1">
      <c r="A13" s="43">
        <f>'Hex Material'!A13</f>
        <v>0</v>
      </c>
      <c r="B13" s="43" t="str">
        <f>'Hex Material'!B13</f>
        <v>RDJ901200/29</v>
      </c>
      <c r="C13" s="43" t="str">
        <f>'Hex Material'!C13</f>
        <v>1:32 splitter, SC/APC, 180/730mm</v>
      </c>
      <c r="D13" s="43">
        <f>'Hex Material'!D13</f>
        <v>1</v>
      </c>
      <c r="E13" s="43" t="str">
        <f>'Hex Material'!E13</f>
        <v>pcs</v>
      </c>
      <c r="F13" s="43">
        <f>'Hex Material'!F13</f>
        <v>0</v>
      </c>
      <c r="G13" s="43">
        <f>'Hex Material'!G13</f>
        <v>405</v>
      </c>
      <c r="H13" s="43">
        <f>'Hex Material'!H13</f>
        <v>0</v>
      </c>
      <c r="I13" s="7" t="s">
        <v>254</v>
      </c>
    </row>
    <row r="14" spans="1:9" s="4" customFormat="1">
      <c r="A14" s="43">
        <f>'Hex Material'!A14</f>
        <v>0</v>
      </c>
      <c r="B14" s="43" t="str">
        <f>'Hex Material'!B14</f>
        <v>RDJ901200/33</v>
      </c>
      <c r="C14" s="43" t="str">
        <f>'Hex Material'!C14</f>
        <v>1:32 splitter, SC/APC, 900/1500mm</v>
      </c>
      <c r="D14" s="43">
        <f>'Hex Material'!D14</f>
        <v>1</v>
      </c>
      <c r="E14" s="43" t="str">
        <f>'Hex Material'!E14</f>
        <v>pcs</v>
      </c>
      <c r="F14" s="43">
        <f>'Hex Material'!F14</f>
        <v>0</v>
      </c>
      <c r="G14" s="43">
        <f>'Hex Material'!G14</f>
        <v>402.17</v>
      </c>
      <c r="H14" s="43">
        <f>'Hex Material'!H14</f>
        <v>0</v>
      </c>
      <c r="I14" s="7" t="s">
        <v>254</v>
      </c>
    </row>
    <row r="15" spans="1:9" s="4" customFormat="1" ht="36">
      <c r="A15" s="43" t="str">
        <f>'Hex Material'!A15</f>
        <v>Microduct - Feeder and Distribution</v>
      </c>
      <c r="B15" s="43">
        <f>'Hex Material'!B15</f>
        <v>0</v>
      </c>
      <c r="C15" s="43">
        <f>'Hex Material'!C15</f>
        <v>0</v>
      </c>
      <c r="D15" s="43">
        <f>'Hex Material'!D15</f>
        <v>0</v>
      </c>
      <c r="E15" s="43">
        <f>'Hex Material'!E15</f>
        <v>0</v>
      </c>
      <c r="F15" s="43">
        <f>'Hex Material'!F15</f>
        <v>0</v>
      </c>
      <c r="G15" s="43">
        <f>'Hex Material'!G15</f>
        <v>0</v>
      </c>
      <c r="H15" s="43">
        <f>'Hex Material'!H15</f>
        <v>0</v>
      </c>
      <c r="I15" s="7" t="s">
        <v>254</v>
      </c>
    </row>
    <row r="16" spans="1:9" s="4" customFormat="1">
      <c r="A16" s="43">
        <f>'Hex Material'!A16</f>
        <v>0</v>
      </c>
      <c r="B16" s="43" t="str">
        <f>'Hex Material'!B16</f>
        <v>MPB302441UV</v>
      </c>
      <c r="C16" s="43" t="str">
        <f>'Hex Material'!C16</f>
        <v>Microduct, 5/3,5mm 1-way, direct buried, TW</v>
      </c>
      <c r="D16" s="43" t="str">
        <f>'Hex Material'!D16</f>
        <v>1640 ft to 6560 ft</v>
      </c>
      <c r="E16" s="43" t="str">
        <f>'Hex Material'!E16</f>
        <v>ft</v>
      </c>
      <c r="F16" s="43">
        <f>'Hex Material'!F16</f>
        <v>0</v>
      </c>
      <c r="G16" s="43">
        <f>'Hex Material'!G16</f>
        <v>0.23039939024390246</v>
      </c>
      <c r="H16" s="43">
        <f>'Hex Material'!H16</f>
        <v>0</v>
      </c>
      <c r="I16" s="7" t="s">
        <v>254</v>
      </c>
    </row>
    <row r="17" spans="1:9" s="4" customFormat="1">
      <c r="A17" s="43">
        <f>'Hex Material'!A17</f>
        <v>0</v>
      </c>
      <c r="B17" s="43" t="str">
        <f>'Hex Material'!B17</f>
        <v>MPB302444UV</v>
      </c>
      <c r="C17" s="43" t="str">
        <f>'Hex Material'!C17</f>
        <v>Microduct, 5/3,5mm 4-way, direct buried, TW</v>
      </c>
      <c r="D17" s="43" t="str">
        <f>'Hex Material'!D17</f>
        <v>1640 ft to 6560 ft</v>
      </c>
      <c r="E17" s="43" t="str">
        <f>'Hex Material'!E17</f>
        <v>ft</v>
      </c>
      <c r="F17" s="43">
        <f>'Hex Material'!F17</f>
        <v>0</v>
      </c>
      <c r="G17" s="43">
        <f>'Hex Material'!G17</f>
        <v>0.61737804878048785</v>
      </c>
      <c r="H17" s="43">
        <f>'Hex Material'!H17</f>
        <v>0</v>
      </c>
      <c r="I17" s="7" t="s">
        <v>254</v>
      </c>
    </row>
    <row r="18" spans="1:9" s="4" customFormat="1">
      <c r="A18" s="43">
        <f>'Hex Material'!A18</f>
        <v>0</v>
      </c>
      <c r="B18" s="43" t="str">
        <f>'Hex Material'!B18</f>
        <v>MPB302447UV</v>
      </c>
      <c r="C18" s="43" t="str">
        <f>'Hex Material'!C18</f>
        <v>Microduct, 5/3,5mm 7-way, direct buried, TW</v>
      </c>
      <c r="D18" s="43" t="str">
        <f>'Hex Material'!D18</f>
        <v>1640 ft to 6560 ft</v>
      </c>
      <c r="E18" s="43" t="str">
        <f>'Hex Material'!E18</f>
        <v>ft</v>
      </c>
      <c r="F18" s="43">
        <f>'Hex Material'!F18</f>
        <v>0</v>
      </c>
      <c r="G18" s="43">
        <f>'Hex Material'!G18</f>
        <v>0.77743902439024393</v>
      </c>
      <c r="H18" s="43">
        <f>'Hex Material'!H18</f>
        <v>0</v>
      </c>
      <c r="I18" s="7" t="s">
        <v>254</v>
      </c>
    </row>
    <row r="19" spans="1:9" s="4" customFormat="1">
      <c r="A19" s="43">
        <f>'Hex Material'!A19</f>
        <v>0</v>
      </c>
      <c r="B19" s="43" t="str">
        <f>'Hex Material'!B19</f>
        <v>MPB3024412UV</v>
      </c>
      <c r="C19" s="43" t="str">
        <f>'Hex Material'!C19</f>
        <v>Microduct, 5/3,5mm 12-way, direct buried, TW</v>
      </c>
      <c r="D19" s="43" t="str">
        <f>'Hex Material'!D19</f>
        <v>1640 ft to 6560 ft</v>
      </c>
      <c r="E19" s="43" t="str">
        <f>'Hex Material'!E19</f>
        <v>ft</v>
      </c>
      <c r="F19" s="43">
        <f>'Hex Material'!F19</f>
        <v>0</v>
      </c>
      <c r="G19" s="43">
        <f>'Hex Material'!G19</f>
        <v>1.0213414634146341</v>
      </c>
      <c r="H19" s="43">
        <f>'Hex Material'!H19</f>
        <v>0</v>
      </c>
      <c r="I19" s="7" t="s">
        <v>254</v>
      </c>
    </row>
    <row r="20" spans="1:9" s="4" customFormat="1">
      <c r="A20" s="43">
        <f>'Hex Material'!A20</f>
        <v>0</v>
      </c>
      <c r="B20" s="43" t="str">
        <f>'Hex Material'!B20</f>
        <v>MPB3024419UV</v>
      </c>
      <c r="C20" s="43" t="str">
        <f>'Hex Material'!C20</f>
        <v>Microduct, 5/3,5mm 19-way, direct buried, TW</v>
      </c>
      <c r="D20" s="43" t="str">
        <f>'Hex Material'!D20</f>
        <v>1640 ft to 6560 ft</v>
      </c>
      <c r="E20" s="43" t="str">
        <f>'Hex Material'!E20</f>
        <v>ft</v>
      </c>
      <c r="F20" s="43">
        <f>'Hex Material'!F20</f>
        <v>0</v>
      </c>
      <c r="G20" s="43">
        <f>'Hex Material'!G20</f>
        <v>1.1495640243902439</v>
      </c>
      <c r="H20" s="43">
        <f>'Hex Material'!H20</f>
        <v>0</v>
      </c>
      <c r="I20" s="7" t="s">
        <v>254</v>
      </c>
    </row>
    <row r="21" spans="1:9" s="4" customFormat="1">
      <c r="A21" s="43">
        <f>'Hex Material'!A21</f>
        <v>0</v>
      </c>
      <c r="B21" s="43" t="str">
        <f>'Hex Material'!B21</f>
        <v>MPB3024424UV</v>
      </c>
      <c r="C21" s="43" t="str">
        <f>'Hex Material'!C21</f>
        <v>Microduct, 5/3,5mm 24-way, direct buried, TW</v>
      </c>
      <c r="D21" s="43" t="str">
        <f>'Hex Material'!D21</f>
        <v>1640 ft to 3280 ft</v>
      </c>
      <c r="E21" s="43" t="str">
        <f>'Hex Material'!E21</f>
        <v>ft</v>
      </c>
      <c r="F21" s="43">
        <f>'Hex Material'!F21</f>
        <v>0</v>
      </c>
      <c r="G21" s="43">
        <f>'Hex Material'!G21</f>
        <v>1.9207317073170731</v>
      </c>
      <c r="H21" s="43">
        <f>'Hex Material'!H21</f>
        <v>0</v>
      </c>
      <c r="I21" s="7" t="s">
        <v>254</v>
      </c>
    </row>
    <row r="22" spans="1:9" s="4" customFormat="1" ht="24">
      <c r="A22" s="43" t="str">
        <f>'Hex Material'!A22</f>
        <v>Duct Joint Closures</v>
      </c>
      <c r="B22" s="43">
        <f>'Hex Material'!B22</f>
        <v>0</v>
      </c>
      <c r="C22" s="43">
        <f>'Hex Material'!C22</f>
        <v>0</v>
      </c>
      <c r="D22" s="43">
        <f>'Hex Material'!D22</f>
        <v>0</v>
      </c>
      <c r="E22" s="43">
        <f>'Hex Material'!E22</f>
        <v>0</v>
      </c>
      <c r="F22" s="43">
        <f>'Hex Material'!F22</f>
        <v>0</v>
      </c>
      <c r="G22" s="43">
        <f>'Hex Material'!G22</f>
        <v>0</v>
      </c>
      <c r="H22" s="43">
        <f>'Hex Material'!H22</f>
        <v>0</v>
      </c>
      <c r="I22" s="7" t="s">
        <v>254</v>
      </c>
    </row>
    <row r="23" spans="1:9" s="4" customFormat="1">
      <c r="A23" s="43">
        <f>'Hex Material'!A23</f>
        <v>0</v>
      </c>
      <c r="B23" s="43" t="str">
        <f>'Hex Material'!B23</f>
        <v>3/NDE451200</v>
      </c>
      <c r="C23" s="43" t="str">
        <f>'Hex Material'!C23</f>
        <v>Duct branch off closure, small - 4 port</v>
      </c>
      <c r="D23" s="43">
        <f>'Hex Material'!D23</f>
        <v>1</v>
      </c>
      <c r="E23" s="43" t="str">
        <f>'Hex Material'!E23</f>
        <v>pcs</v>
      </c>
      <c r="F23" s="43">
        <f>'Hex Material'!F23</f>
        <v>0</v>
      </c>
      <c r="G23" s="43">
        <f>'Hex Material'!G23</f>
        <v>81.400000000000006</v>
      </c>
      <c r="H23" s="43">
        <f>'Hex Material'!H23</f>
        <v>0</v>
      </c>
      <c r="I23" s="7" t="s">
        <v>254</v>
      </c>
    </row>
    <row r="24" spans="1:9" s="4" customFormat="1">
      <c r="A24" s="43">
        <f>'Hex Material'!A24</f>
        <v>0</v>
      </c>
      <c r="B24" s="43" t="str">
        <f>'Hex Material'!B24</f>
        <v>3/NDE451200/1</v>
      </c>
      <c r="C24" s="43" t="str">
        <f>'Hex Material'!C24</f>
        <v>Duct branch off closure, small - 8 port</v>
      </c>
      <c r="D24" s="43">
        <f>'Hex Material'!D24</f>
        <v>1</v>
      </c>
      <c r="E24" s="43" t="str">
        <f>'Hex Material'!E24</f>
        <v>pcs</v>
      </c>
      <c r="F24" s="43">
        <f>'Hex Material'!F24</f>
        <v>0</v>
      </c>
      <c r="G24" s="43">
        <f>'Hex Material'!G24</f>
        <v>115</v>
      </c>
      <c r="H24" s="43">
        <f>'Hex Material'!H24</f>
        <v>0</v>
      </c>
      <c r="I24" s="7" t="s">
        <v>254</v>
      </c>
    </row>
    <row r="25" spans="1:9" s="4" customFormat="1">
      <c r="A25" s="43">
        <f>'Hex Material'!A25</f>
        <v>0</v>
      </c>
      <c r="B25" s="43" t="str">
        <f>'Hex Material'!B25</f>
        <v>NDE45125/171</v>
      </c>
      <c r="C25" s="43" t="str">
        <f>'Hex Material'!C25</f>
        <v>Straight Joint 367-40mm (24 - 19 way) Black end caps</v>
      </c>
      <c r="D25" s="43">
        <f>'Hex Material'!D25</f>
        <v>10</v>
      </c>
      <c r="E25" s="43" t="str">
        <f>'Hex Material'!E25</f>
        <v>pcs</v>
      </c>
      <c r="F25" s="43">
        <f>'Hex Material'!F25</f>
        <v>0</v>
      </c>
      <c r="G25" s="43">
        <f>'Hex Material'!G25</f>
        <v>29.9</v>
      </c>
      <c r="H25" s="43">
        <f>'Hex Material'!H25</f>
        <v>0</v>
      </c>
      <c r="I25" s="7" t="s">
        <v>254</v>
      </c>
    </row>
    <row r="26" spans="1:9" s="4" customFormat="1">
      <c r="A26" s="43">
        <f>'Hex Material'!A26</f>
        <v>0</v>
      </c>
      <c r="B26" s="43" t="str">
        <f>'Hex Material'!B26</f>
        <v>MPB32000/2</v>
      </c>
      <c r="C26" s="43" t="str">
        <f>'Hex Material'!C26</f>
        <v>Hexatronic marker pegs</v>
      </c>
      <c r="D26" s="43">
        <f>'Hex Material'!D26</f>
        <v>1</v>
      </c>
      <c r="E26" s="43" t="str">
        <f>'Hex Material'!E26</f>
        <v>pcs</v>
      </c>
      <c r="F26" s="43">
        <f>'Hex Material'!F26</f>
        <v>0</v>
      </c>
      <c r="G26" s="43">
        <f>'Hex Material'!G26</f>
        <v>8</v>
      </c>
      <c r="H26" s="43">
        <f>'Hex Material'!H26</f>
        <v>0</v>
      </c>
      <c r="I26" s="7" t="s">
        <v>254</v>
      </c>
    </row>
    <row r="27" spans="1:9" s="4" customFormat="1">
      <c r="A27" s="43">
        <f>'Hex Material'!A27</f>
        <v>0</v>
      </c>
      <c r="B27" s="43" t="str">
        <f>'Hex Material'!B27</f>
        <v>TBD</v>
      </c>
      <c r="C27" s="43" t="str">
        <f>'Hex Material'!C27</f>
        <v>Toby Box (flower pot) at property line</v>
      </c>
      <c r="D27" s="43">
        <f>'Hex Material'!D27</f>
        <v>1</v>
      </c>
      <c r="E27" s="43" t="str">
        <f>'Hex Material'!E27</f>
        <v>pcs</v>
      </c>
      <c r="F27" s="43">
        <f>'Hex Material'!F27</f>
        <v>0</v>
      </c>
      <c r="G27" s="43">
        <f>'Hex Material'!G27</f>
        <v>9.9499999999999993</v>
      </c>
      <c r="H27" s="43">
        <f>'Hex Material'!H27</f>
        <v>0</v>
      </c>
      <c r="I27" s="7" t="s">
        <v>254</v>
      </c>
    </row>
    <row r="28" spans="1:9" s="4" customFormat="1" ht="24">
      <c r="A28" s="43" t="str">
        <f>'Hex Material'!A28</f>
        <v>Air Blown Fiber ( ABF)</v>
      </c>
      <c r="B28" s="43">
        <f>'Hex Material'!B28</f>
        <v>0</v>
      </c>
      <c r="C28" s="43">
        <f>'Hex Material'!C28</f>
        <v>0</v>
      </c>
      <c r="D28" s="43">
        <f>'Hex Material'!D28</f>
        <v>0</v>
      </c>
      <c r="E28" s="43">
        <f>'Hex Material'!E28</f>
        <v>0</v>
      </c>
      <c r="F28" s="43">
        <f>'Hex Material'!F28</f>
        <v>0</v>
      </c>
      <c r="G28" s="43">
        <f>'Hex Material'!G28</f>
        <v>0</v>
      </c>
      <c r="H28" s="43">
        <f>'Hex Material'!H28</f>
        <v>0</v>
      </c>
      <c r="I28" s="7" t="s">
        <v>254</v>
      </c>
    </row>
    <row r="29" spans="1:9" s="4" customFormat="1">
      <c r="A29" s="43">
        <f>'Hex Material'!A29</f>
        <v>0</v>
      </c>
      <c r="B29" s="43" t="str">
        <f>'Hex Material'!B29</f>
        <v>KRPM258019/xxxxM</v>
      </c>
      <c r="C29" s="43" t="str">
        <f>'Hex Material'!C29</f>
        <v>ABF STINGRAY 2 FIBER G657 BOX</v>
      </c>
      <c r="D29" s="43" t="str">
        <f>'Hex Material'!D29</f>
        <v>1000M to 6000M</v>
      </c>
      <c r="E29" s="43" t="str">
        <f>'Hex Material'!E29</f>
        <v>ft</v>
      </c>
      <c r="F29" s="43">
        <f>'Hex Material'!F29</f>
        <v>0</v>
      </c>
      <c r="G29" s="43">
        <f>'Hex Material'!G29</f>
        <v>5.9602115999999997E-2</v>
      </c>
      <c r="H29" s="43">
        <f>'Hex Material'!H29</f>
        <v>0</v>
      </c>
      <c r="I29" s="7" t="s">
        <v>254</v>
      </c>
    </row>
    <row r="30" spans="1:9" s="4" customFormat="1">
      <c r="A30" s="43">
        <f>'Hex Material'!A30</f>
        <v>0</v>
      </c>
      <c r="B30" s="43" t="str">
        <f>'Hex Material'!B30</f>
        <v>KRPM258022/xxxxM</v>
      </c>
      <c r="C30" s="43" t="str">
        <f>'Hex Material'!C30</f>
        <v>ABF Stingray 4xG657A2 TIA598 PAN</v>
      </c>
      <c r="D30" s="43" t="str">
        <f>'Hex Material'!D30</f>
        <v>2000M to 6000M</v>
      </c>
      <c r="E30" s="43" t="str">
        <f>'Hex Material'!E30</f>
        <v>ft</v>
      </c>
      <c r="F30" s="43">
        <f>'Hex Material'!F30</f>
        <v>0</v>
      </c>
      <c r="G30" s="43">
        <f>'Hex Material'!G30</f>
        <v>8.0816195999999993E-2</v>
      </c>
      <c r="H30" s="43">
        <f>'Hex Material'!H30</f>
        <v>0</v>
      </c>
      <c r="I30" s="7" t="s">
        <v>254</v>
      </c>
    </row>
    <row r="31" spans="1:9" s="4" customFormat="1">
      <c r="A31" s="43">
        <f>'Hex Material'!A31</f>
        <v>0</v>
      </c>
      <c r="B31" s="43" t="str">
        <f>'Hex Material'!B31</f>
        <v>KRPM258034/xxxxM</v>
      </c>
      <c r="C31" s="43" t="str">
        <f>'Hex Material'!C31</f>
        <v>ABF Stingray 8xG657A2 TIA598 PAN</v>
      </c>
      <c r="D31" s="43" t="str">
        <f>'Hex Material'!D31</f>
        <v>1000M to 4000M</v>
      </c>
      <c r="E31" s="43" t="str">
        <f>'Hex Material'!E31</f>
        <v>ft</v>
      </c>
      <c r="F31" s="43">
        <f>'Hex Material'!F31</f>
        <v>0</v>
      </c>
      <c r="G31" s="43">
        <f>'Hex Material'!G31</f>
        <v>0.151638</v>
      </c>
      <c r="H31" s="43">
        <f>'Hex Material'!H31</f>
        <v>0</v>
      </c>
      <c r="I31" s="7" t="s">
        <v>254</v>
      </c>
    </row>
    <row r="32" spans="1:9" s="4" customFormat="1">
      <c r="A32" s="43">
        <f>'Hex Material'!A32</f>
        <v>0</v>
      </c>
      <c r="B32" s="43" t="str">
        <f>'Hex Material'!B32</f>
        <v>KRPM258044/xxxxM</v>
      </c>
      <c r="C32" s="43" t="str">
        <f>'Hex Material'!C32</f>
        <v>ABF Stingray 12xG657A2 TIA598 PAN</v>
      </c>
      <c r="D32" s="43" t="str">
        <f>'Hex Material'!D32</f>
        <v>1000M to 4000M</v>
      </c>
      <c r="E32" s="43" t="str">
        <f>'Hex Material'!E32</f>
        <v>ft</v>
      </c>
      <c r="F32" s="43">
        <f>'Hex Material'!F32</f>
        <v>0</v>
      </c>
      <c r="G32" s="43">
        <f>'Hex Material'!G32</f>
        <v>0.14238732000000001</v>
      </c>
      <c r="H32" s="43">
        <f>'Hex Material'!H32</f>
        <v>0</v>
      </c>
      <c r="I32" s="7" t="s">
        <v>254</v>
      </c>
    </row>
    <row r="33" spans="1:9" s="4" customFormat="1">
      <c r="A33" s="43">
        <f>'Hex Material'!A33</f>
        <v>0</v>
      </c>
      <c r="B33" s="43" t="str">
        <f>'Hex Material'!B33</f>
        <v>TSR3950426/2000</v>
      </c>
      <c r="C33" s="43" t="str">
        <f>'Hex Material'!C33</f>
        <v>Pigtail SM (0.9 mm), SC/APC - open end, G657A2, 2 m, Yellow</v>
      </c>
      <c r="D33" s="43">
        <f>'Hex Material'!D33</f>
        <v>10</v>
      </c>
      <c r="E33" s="43" t="str">
        <f>'Hex Material'!E33</f>
        <v>pcs</v>
      </c>
      <c r="F33" s="43">
        <f>'Hex Material'!F33</f>
        <v>0</v>
      </c>
      <c r="G33" s="43">
        <f>'Hex Material'!G33</f>
        <v>3.05</v>
      </c>
      <c r="H33" s="43">
        <f>'Hex Material'!H33</f>
        <v>0</v>
      </c>
      <c r="I33" s="7" t="s">
        <v>254</v>
      </c>
    </row>
    <row r="34" spans="1:9" s="4" customFormat="1" ht="24">
      <c r="A34" s="43" t="str">
        <f>'Hex Material'!A34</f>
        <v>Accessories (required)</v>
      </c>
      <c r="B34" s="43">
        <f>'Hex Material'!B34</f>
        <v>0</v>
      </c>
      <c r="C34" s="43">
        <f>'Hex Material'!C34</f>
        <v>0</v>
      </c>
      <c r="D34" s="43">
        <f>'Hex Material'!D34</f>
        <v>0</v>
      </c>
      <c r="E34" s="43">
        <f>'Hex Material'!E34</f>
        <v>0</v>
      </c>
      <c r="F34" s="43">
        <f>'Hex Material'!F34</f>
        <v>0</v>
      </c>
      <c r="G34" s="43">
        <f>'Hex Material'!G34</f>
        <v>0</v>
      </c>
      <c r="H34" s="43">
        <f>'Hex Material'!H34</f>
        <v>0</v>
      </c>
      <c r="I34" s="7" t="s">
        <v>254</v>
      </c>
    </row>
    <row r="35" spans="1:9" s="4" customFormat="1">
      <c r="A35" s="43">
        <f>'Hex Material'!A35</f>
        <v>0</v>
      </c>
      <c r="B35" s="43" t="str">
        <f>'Hex Material'!B35</f>
        <v>5/NEG203200</v>
      </c>
      <c r="C35" s="43" t="str">
        <f>'Hex Material'!C35</f>
        <v>Fiber Termination Box, Indoor/Outdoor for up to 2xSC Duplex cut-out</v>
      </c>
      <c r="D35" s="43">
        <f>'Hex Material'!D35</f>
        <v>1</v>
      </c>
      <c r="E35" s="43" t="str">
        <f>'Hex Material'!E35</f>
        <v>pcs</v>
      </c>
      <c r="F35" s="43">
        <f>'Hex Material'!F35</f>
        <v>0</v>
      </c>
      <c r="G35" s="43">
        <f>'Hex Material'!G35</f>
        <v>13.92</v>
      </c>
      <c r="H35" s="43">
        <f>'Hex Material'!H35</f>
        <v>0</v>
      </c>
      <c r="I35" s="7" t="s">
        <v>254</v>
      </c>
    </row>
    <row r="36" spans="1:9" s="4" customFormat="1">
      <c r="A36" s="43">
        <f>'Hex Material'!A36</f>
        <v>0</v>
      </c>
      <c r="B36" s="43" t="str">
        <f>'Hex Material'!B36</f>
        <v>RNT99211/22</v>
      </c>
      <c r="C36" s="43" t="str">
        <f>'Hex Material'!C36</f>
        <v>Adapter SC/APC duplex, ceramic, snap-in and flange mount, Green</v>
      </c>
      <c r="D36" s="43">
        <f>'Hex Material'!D36</f>
        <v>1</v>
      </c>
      <c r="E36" s="43" t="str">
        <f>'Hex Material'!E36</f>
        <v>pcs</v>
      </c>
      <c r="F36" s="43">
        <f>'Hex Material'!F36</f>
        <v>0</v>
      </c>
      <c r="G36" s="43">
        <f>'Hex Material'!G36</f>
        <v>2.17</v>
      </c>
      <c r="H36" s="43">
        <f>'Hex Material'!H36</f>
        <v>0</v>
      </c>
      <c r="I36" s="7" t="s">
        <v>254</v>
      </c>
    </row>
    <row r="37" spans="1:9" s="4" customFormat="1">
      <c r="A37" s="43">
        <f>'Hex Material'!A37</f>
        <v>0</v>
      </c>
      <c r="B37" s="43" t="str">
        <f>'Hex Material'!B37</f>
        <v>MPB30601/2</v>
      </c>
      <c r="C37" s="43" t="str">
        <f>'Hex Material'!C37</f>
        <v>100xConnector, 5/3.5mm Standard</v>
      </c>
      <c r="D37" s="43">
        <f>'Hex Material'!D37</f>
        <v>100</v>
      </c>
      <c r="E37" s="43" t="str">
        <f>'Hex Material'!E37</f>
        <v>pack</v>
      </c>
      <c r="F37" s="43">
        <f>'Hex Material'!F37</f>
        <v>0</v>
      </c>
      <c r="G37" s="43">
        <f>'Hex Material'!G37</f>
        <v>71.5</v>
      </c>
      <c r="H37" s="43">
        <f>'Hex Material'!H37</f>
        <v>0</v>
      </c>
      <c r="I37" s="7" t="s">
        <v>254</v>
      </c>
    </row>
    <row r="38" spans="1:9" s="4" customFormat="1">
      <c r="A38" s="43">
        <f>'Hex Material'!A38</f>
        <v>0</v>
      </c>
      <c r="B38" s="43" t="str">
        <f>'Hex Material'!B38</f>
        <v>SXA1139137/132</v>
      </c>
      <c r="C38" s="43" t="str">
        <f>'Hex Material'!C38</f>
        <v>100xMicroduct End Stop, 5mm Easy Connect</v>
      </c>
      <c r="D38" s="43">
        <f>'Hex Material'!D38</f>
        <v>100</v>
      </c>
      <c r="E38" s="43" t="str">
        <f>'Hex Material'!E38</f>
        <v>pack</v>
      </c>
      <c r="F38" s="43">
        <f>'Hex Material'!F38</f>
        <v>0</v>
      </c>
      <c r="G38" s="43">
        <f>'Hex Material'!G38</f>
        <v>85</v>
      </c>
      <c r="H38" s="43">
        <f>'Hex Material'!H38</f>
        <v>0</v>
      </c>
      <c r="I38" s="7" t="s">
        <v>254</v>
      </c>
    </row>
    <row r="39" spans="1:9" s="4" customFormat="1">
      <c r="A39" s="43">
        <f>'Hex Material'!A39</f>
        <v>0</v>
      </c>
      <c r="B39" s="43" t="str">
        <f>'Hex Material'!B39</f>
        <v>MPB30601/102</v>
      </c>
      <c r="C39" s="43" t="str">
        <f>'Hex Material'!C39</f>
        <v>100xConnector,10/8mm Standard</v>
      </c>
      <c r="D39" s="43">
        <f>'Hex Material'!D39</f>
        <v>100</v>
      </c>
      <c r="E39" s="43" t="str">
        <f>'Hex Material'!E39</f>
        <v>pack</v>
      </c>
      <c r="F39" s="43">
        <f>'Hex Material'!F39</f>
        <v>0</v>
      </c>
      <c r="G39" s="43">
        <f>'Hex Material'!G39</f>
        <v>145</v>
      </c>
      <c r="H39" s="43">
        <f>'Hex Material'!H39</f>
        <v>0</v>
      </c>
      <c r="I39" s="7" t="s">
        <v>254</v>
      </c>
    </row>
    <row r="40" spans="1:9" s="4" customFormat="1">
      <c r="A40" s="43">
        <f>'Hex Material'!A40</f>
        <v>0</v>
      </c>
      <c r="B40" s="43" t="str">
        <f>'Hex Material'!B40</f>
        <v>SXA1139137/142</v>
      </c>
      <c r="C40" s="43" t="str">
        <f>'Hex Material'!C40</f>
        <v>100xEndstop Connector, 10mm Easy Connect</v>
      </c>
      <c r="D40" s="43">
        <f>'Hex Material'!D40</f>
        <v>100</v>
      </c>
      <c r="E40" s="43" t="str">
        <f>'Hex Material'!E40</f>
        <v>pack</v>
      </c>
      <c r="F40" s="43">
        <f>'Hex Material'!F40</f>
        <v>0</v>
      </c>
      <c r="G40" s="43">
        <f>'Hex Material'!G40</f>
        <v>265</v>
      </c>
      <c r="H40" s="43">
        <f>'Hex Material'!H40</f>
        <v>0</v>
      </c>
      <c r="I40" s="7" t="s">
        <v>254</v>
      </c>
    </row>
    <row r="41" spans="1:9" s="4" customFormat="1">
      <c r="A41" s="43">
        <f>'Hex Material'!A41</f>
        <v>0</v>
      </c>
      <c r="B41" s="43" t="str">
        <f>'Hex Material'!B41</f>
        <v>MPB30609/10</v>
      </c>
      <c r="C41" s="43" t="str">
        <f>'Hex Material'!C41</f>
        <v>End Cap 10 mm</v>
      </c>
      <c r="D41" s="43">
        <f>'Hex Material'!D41</f>
        <v>250</v>
      </c>
      <c r="E41" s="43" t="str">
        <f>'Hex Material'!E41</f>
        <v>pack</v>
      </c>
      <c r="F41" s="43">
        <f>'Hex Material'!F41</f>
        <v>0</v>
      </c>
      <c r="G41" s="43">
        <f>'Hex Material'!G41</f>
        <v>77.5</v>
      </c>
      <c r="H41" s="43">
        <f>'Hex Material'!H41</f>
        <v>0</v>
      </c>
      <c r="I41" s="7" t="s">
        <v>254</v>
      </c>
    </row>
    <row r="42" spans="1:9" s="4" customFormat="1">
      <c r="A42" s="43">
        <f>'Hex Material'!A42</f>
        <v>0</v>
      </c>
      <c r="B42" s="43" t="str">
        <f>'Hex Material'!B42</f>
        <v>SRS10617/01</v>
      </c>
      <c r="C42" s="43" t="str">
        <f>'Hex Material'!C42</f>
        <v>100xEnd Sleeve for 10-16 mm</v>
      </c>
      <c r="D42" s="43">
        <f>'Hex Material'!D42</f>
        <v>100</v>
      </c>
      <c r="E42" s="43" t="str">
        <f>'Hex Material'!E42</f>
        <v>pack</v>
      </c>
      <c r="F42" s="43">
        <f>'Hex Material'!F42</f>
        <v>0</v>
      </c>
      <c r="G42" s="43">
        <f>'Hex Material'!G42</f>
        <v>90</v>
      </c>
      <c r="H42" s="43">
        <f>'Hex Material'!H42</f>
        <v>0</v>
      </c>
      <c r="I42" s="7" t="s">
        <v>254</v>
      </c>
    </row>
    <row r="43" spans="1:9" s="4" customFormat="1">
      <c r="A43" s="43">
        <f>'Hex Material'!A43</f>
        <v>0</v>
      </c>
      <c r="B43" s="43" t="str">
        <f>'Hex Material'!B43</f>
        <v>SRS10617/02</v>
      </c>
      <c r="C43" s="43" t="str">
        <f>'Hex Material'!C43</f>
        <v>100xEnd Sleeve for 15-21 mm</v>
      </c>
      <c r="D43" s="43">
        <f>'Hex Material'!D43</f>
        <v>100</v>
      </c>
      <c r="E43" s="43" t="str">
        <f>'Hex Material'!E43</f>
        <v>pack</v>
      </c>
      <c r="F43" s="43">
        <f>'Hex Material'!F43</f>
        <v>0</v>
      </c>
      <c r="G43" s="43">
        <f>'Hex Material'!G43</f>
        <v>129</v>
      </c>
      <c r="H43" s="43">
        <f>'Hex Material'!H43</f>
        <v>0</v>
      </c>
      <c r="I43" s="7" t="s">
        <v>254</v>
      </c>
    </row>
    <row r="44" spans="1:9" s="4" customFormat="1">
      <c r="A44" s="43">
        <f>'Hex Material'!A44</f>
        <v>0</v>
      </c>
      <c r="B44" s="43" t="str">
        <f>'Hex Material'!B44</f>
        <v>SRS10617/03</v>
      </c>
      <c r="C44" s="43" t="str">
        <f>'Hex Material'!C44</f>
        <v>50xEnd sleeve for 21-29 mm</v>
      </c>
      <c r="D44" s="43">
        <f>'Hex Material'!D44</f>
        <v>50</v>
      </c>
      <c r="E44" s="43" t="str">
        <f>'Hex Material'!E44</f>
        <v>pack</v>
      </c>
      <c r="F44" s="43">
        <f>'Hex Material'!F44</f>
        <v>0</v>
      </c>
      <c r="G44" s="43">
        <f>'Hex Material'!G44</f>
        <v>89</v>
      </c>
      <c r="H44" s="43">
        <f>'Hex Material'!H44</f>
        <v>0</v>
      </c>
      <c r="I44" s="7" t="s">
        <v>254</v>
      </c>
    </row>
    <row r="45" spans="1:9" s="4" customFormat="1">
      <c r="A45" s="43">
        <f>'Hex Material'!A45</f>
        <v>0</v>
      </c>
      <c r="B45" s="43" t="str">
        <f>'Hex Material'!B45</f>
        <v>SRS10617/04</v>
      </c>
      <c r="C45" s="43" t="str">
        <f>'Hex Material'!C45</f>
        <v>20xEnd Sleeve for 29-38 mm</v>
      </c>
      <c r="D45" s="43">
        <f>'Hex Material'!D45</f>
        <v>20</v>
      </c>
      <c r="E45" s="43" t="str">
        <f>'Hex Material'!E45</f>
        <v>pack</v>
      </c>
      <c r="F45" s="43">
        <f>'Hex Material'!F45</f>
        <v>0</v>
      </c>
      <c r="G45" s="43">
        <f>'Hex Material'!G45</f>
        <v>39</v>
      </c>
      <c r="H45" s="43">
        <f>'Hex Material'!H45</f>
        <v>0</v>
      </c>
      <c r="I45" s="7" t="s">
        <v>254</v>
      </c>
    </row>
    <row r="46" spans="1:9" s="4" customFormat="1">
      <c r="A46" s="43">
        <f>'Hex Material'!A46</f>
        <v>0</v>
      </c>
      <c r="B46" s="43" t="str">
        <f>'Hex Material'!B46</f>
        <v>SRS10617/05</v>
      </c>
      <c r="C46" s="43" t="str">
        <f>'Hex Material'!C46</f>
        <v>10xEnd Sleeve for 38-45 mm</v>
      </c>
      <c r="D46" s="43">
        <f>'Hex Material'!D46</f>
        <v>10</v>
      </c>
      <c r="E46" s="43" t="str">
        <f>'Hex Material'!E46</f>
        <v>pack</v>
      </c>
      <c r="F46" s="43">
        <f>'Hex Material'!F46</f>
        <v>0</v>
      </c>
      <c r="G46" s="43">
        <f>'Hex Material'!G46</f>
        <v>23.5</v>
      </c>
      <c r="H46" s="43">
        <f>'Hex Material'!H46</f>
        <v>0</v>
      </c>
      <c r="I46" s="7" t="s">
        <v>254</v>
      </c>
    </row>
    <row r="47" spans="1:9" s="4" customFormat="1">
      <c r="A47" s="43">
        <f>'Hex Material'!A47</f>
        <v>0</v>
      </c>
      <c r="B47" s="43" t="str">
        <f>'Hex Material'!B47</f>
        <v>NDK12103</v>
      </c>
      <c r="C47" s="43" t="str">
        <f>'Hex Material'!C47</f>
        <v>100xMicroduct End Caps, Strain Relief, 5mm</v>
      </c>
      <c r="D47" s="43">
        <f>'Hex Material'!D47</f>
        <v>100</v>
      </c>
      <c r="E47" s="43" t="str">
        <f>'Hex Material'!E47</f>
        <v>pack</v>
      </c>
      <c r="F47" s="43">
        <f>'Hex Material'!F47</f>
        <v>0</v>
      </c>
      <c r="G47" s="43">
        <f>'Hex Material'!G47</f>
        <v>18.02</v>
      </c>
      <c r="H47" s="43">
        <f>'Hex Material'!H47</f>
        <v>0</v>
      </c>
      <c r="I47" s="7" t="s">
        <v>254</v>
      </c>
    </row>
    <row r="48" spans="1:9" s="4" customFormat="1">
      <c r="A48" s="43">
        <f>'Hex Material'!A48</f>
        <v>0</v>
      </c>
      <c r="B48" s="43" t="str">
        <f>'Hex Material'!B48</f>
        <v>NTM50207</v>
      </c>
      <c r="C48" s="43" t="str">
        <f>'Hex Material'!C48</f>
        <v>100xCleaning Sponges 3.5mm</v>
      </c>
      <c r="D48" s="43">
        <f>'Hex Material'!D48</f>
        <v>100</v>
      </c>
      <c r="E48" s="43" t="str">
        <f>'Hex Material'!E48</f>
        <v>pack</v>
      </c>
      <c r="F48" s="43">
        <f>'Hex Material'!F48</f>
        <v>0</v>
      </c>
      <c r="G48" s="43">
        <f>'Hex Material'!G48</f>
        <v>28.9</v>
      </c>
      <c r="H48" s="43">
        <f>'Hex Material'!H48</f>
        <v>0</v>
      </c>
      <c r="I48" s="7" t="s">
        <v>254</v>
      </c>
    </row>
    <row r="49" spans="1:9" s="4" customFormat="1">
      <c r="A49" s="43">
        <f>'Hex Material'!A49</f>
        <v>0</v>
      </c>
      <c r="B49" s="43" t="str">
        <f>'Hex Material'!B49</f>
        <v>NTK102245/1</v>
      </c>
      <c r="C49" s="43" t="str">
        <f>'Hex Material'!C49</f>
        <v>100xBlowing Beads, 1-4f</v>
      </c>
      <c r="D49" s="43">
        <f>'Hex Material'!D49</f>
        <v>100</v>
      </c>
      <c r="E49" s="43" t="str">
        <f>'Hex Material'!E49</f>
        <v>pcs</v>
      </c>
      <c r="F49" s="43">
        <f>'Hex Material'!F49</f>
        <v>0</v>
      </c>
      <c r="G49" s="43">
        <f>'Hex Material'!G49</f>
        <v>15.18</v>
      </c>
      <c r="H49" s="43">
        <f>'Hex Material'!H49</f>
        <v>0</v>
      </c>
      <c r="I49" s="7" t="s">
        <v>254</v>
      </c>
    </row>
    <row r="50" spans="1:9" s="4" customFormat="1">
      <c r="A50" s="43">
        <f>'Hex Material'!A50</f>
        <v>0</v>
      </c>
      <c r="B50" s="43" t="str">
        <f>'Hex Material'!B50</f>
        <v>NTK102245/2</v>
      </c>
      <c r="C50" s="43" t="str">
        <f>'Hex Material'!C50</f>
        <v>Blowing Bead Ribbonet 8/12 fibers (100 pcs)</v>
      </c>
      <c r="D50" s="43">
        <f>'Hex Material'!D50</f>
        <v>100</v>
      </c>
      <c r="E50" s="43" t="str">
        <f>'Hex Material'!E50</f>
        <v>pcs</v>
      </c>
      <c r="F50" s="43">
        <f>'Hex Material'!F50</f>
        <v>0</v>
      </c>
      <c r="G50" s="43">
        <f>'Hex Material'!G50</f>
        <v>24.03</v>
      </c>
      <c r="H50" s="43">
        <f>'Hex Material'!H50</f>
        <v>0</v>
      </c>
      <c r="I50" s="7" t="s">
        <v>254</v>
      </c>
    </row>
    <row r="51" spans="1:9" s="4" customFormat="1">
      <c r="A51" s="44"/>
      <c r="B51" s="39"/>
      <c r="C51" s="39"/>
      <c r="D51" s="39"/>
      <c r="E51" s="39"/>
      <c r="F51" s="39"/>
      <c r="G51" s="39"/>
      <c r="H51" s="40"/>
      <c r="I51" s="41"/>
    </row>
    <row r="52" spans="1:9" s="4" customFormat="1">
      <c r="A52" s="43" t="str">
        <f>Construction!A2</f>
        <v>FDH</v>
      </c>
      <c r="B52" s="43">
        <f>Construction!B2</f>
        <v>0</v>
      </c>
      <c r="C52" s="43">
        <f>Construction!C2</f>
        <v>0</v>
      </c>
      <c r="D52" s="43">
        <f>Construction!D2</f>
        <v>0</v>
      </c>
      <c r="E52" s="43">
        <f>Construction!E2</f>
        <v>0</v>
      </c>
      <c r="F52" s="43">
        <f>Construction!F2</f>
        <v>0</v>
      </c>
      <c r="G52" s="43">
        <f>Construction!G2</f>
        <v>0</v>
      </c>
      <c r="H52" s="43">
        <f>Construction!H2</f>
        <v>0</v>
      </c>
      <c r="I52" s="7" t="s">
        <v>261</v>
      </c>
    </row>
    <row r="53" spans="1:9" s="4" customFormat="1">
      <c r="A53" s="43">
        <f>Construction!A3</f>
        <v>0</v>
      </c>
      <c r="B53" s="43" t="str">
        <f>Construction!B3</f>
        <v>FDH Installation</v>
      </c>
      <c r="C53" s="43" t="str">
        <f>Construction!C3</f>
        <v>FDH pedestal mounted, add adapters and gravel</v>
      </c>
      <c r="D53" s="43" t="str">
        <f>Construction!D3</f>
        <v>MCA</v>
      </c>
      <c r="E53" s="43" t="str">
        <f>Construction!E3</f>
        <v>each</v>
      </c>
      <c r="F53" s="43">
        <f>Construction!F3</f>
        <v>0</v>
      </c>
      <c r="G53" s="43">
        <f>Construction!G3</f>
        <v>200</v>
      </c>
      <c r="H53" s="43">
        <f>Construction!H3</f>
        <v>0</v>
      </c>
      <c r="I53" s="7" t="s">
        <v>261</v>
      </c>
    </row>
    <row r="54" spans="1:9" s="4" customFormat="1">
      <c r="A54" s="43">
        <f>Construction!A4</f>
        <v>0</v>
      </c>
      <c r="B54" s="43" t="str">
        <f>Construction!B4</f>
        <v>FDH Installation</v>
      </c>
      <c r="C54" s="43" t="str">
        <f>Construction!C4</f>
        <v>FDH cabinet mounted, add adapters and pour pad</v>
      </c>
      <c r="D54" s="43" t="str">
        <f>Construction!D4</f>
        <v>MCA</v>
      </c>
      <c r="E54" s="43" t="str">
        <f>Construction!E4</f>
        <v>each</v>
      </c>
      <c r="F54" s="43">
        <f>Construction!F4</f>
        <v>0</v>
      </c>
      <c r="G54" s="43">
        <f>Construction!G4</f>
        <v>400</v>
      </c>
      <c r="H54" s="43">
        <f>Construction!H4</f>
        <v>0</v>
      </c>
      <c r="I54" s="7" t="s">
        <v>261</v>
      </c>
    </row>
    <row r="55" spans="1:9" s="4" customFormat="1">
      <c r="A55" s="43">
        <f>Construction!A5</f>
        <v>0</v>
      </c>
      <c r="B55" s="43" t="str">
        <f>Construction!B5</f>
        <v>FDH Installation</v>
      </c>
      <c r="C55" s="43" t="str">
        <f>Construction!C5</f>
        <v>Prep microduct and terminate in FDH</v>
      </c>
      <c r="D55" s="43" t="str">
        <f>Construction!D5</f>
        <v>MCA</v>
      </c>
      <c r="E55" s="43" t="str">
        <f>Construction!E5</f>
        <v>each</v>
      </c>
      <c r="F55" s="43">
        <f>Construction!F5</f>
        <v>0</v>
      </c>
      <c r="G55" s="43">
        <f>Construction!G5</f>
        <v>20</v>
      </c>
      <c r="H55" s="43">
        <f>Construction!H5</f>
        <v>0</v>
      </c>
      <c r="I55" s="7" t="s">
        <v>261</v>
      </c>
    </row>
    <row r="56" spans="1:9" s="4" customFormat="1">
      <c r="A56" s="43">
        <f>Construction!A6</f>
        <v>0</v>
      </c>
      <c r="B56" s="43" t="str">
        <f>Construction!B6</f>
        <v>FDH Installation</v>
      </c>
      <c r="C56" s="43" t="str">
        <f>Construction!C6</f>
        <v>Install and label 1:32 splitter, SC/APC</v>
      </c>
      <c r="D56" s="43" t="str">
        <f>Construction!D6</f>
        <v>MCA</v>
      </c>
      <c r="E56" s="43" t="str">
        <f>Construction!E6</f>
        <v>each</v>
      </c>
      <c r="F56" s="43">
        <f>Construction!F6</f>
        <v>0</v>
      </c>
      <c r="G56" s="43">
        <f>Construction!G6</f>
        <v>32</v>
      </c>
      <c r="H56" s="43">
        <f>Construction!H6</f>
        <v>0</v>
      </c>
      <c r="I56" s="7" t="s">
        <v>261</v>
      </c>
    </row>
    <row r="57" spans="1:9" s="4" customFormat="1">
      <c r="A57" s="43">
        <f>Construction!A7</f>
        <v>0</v>
      </c>
      <c r="B57" s="43" t="str">
        <f>Construction!B7</f>
        <v>FDH Installation</v>
      </c>
      <c r="C57" s="43" t="str">
        <f>Construction!C7</f>
        <v>Install ground rod including material (if required)</v>
      </c>
      <c r="D57" s="43" t="str">
        <f>Construction!D7</f>
        <v>MCA</v>
      </c>
      <c r="E57" s="43" t="str">
        <f>Construction!E7</f>
        <v>each</v>
      </c>
      <c r="F57" s="43">
        <f>Construction!F7</f>
        <v>0</v>
      </c>
      <c r="G57" s="43">
        <f>Construction!G7</f>
        <v>60</v>
      </c>
      <c r="H57" s="43">
        <f>Construction!H7</f>
        <v>0</v>
      </c>
      <c r="I57" s="7" t="s">
        <v>261</v>
      </c>
    </row>
    <row r="58" spans="1:9" s="4" customFormat="1" ht="48">
      <c r="A58" s="43" t="str">
        <f>Construction!A8</f>
        <v>Ribbonet Microduct - Existing Conduit</v>
      </c>
      <c r="B58" s="43">
        <f>Construction!B8</f>
        <v>0</v>
      </c>
      <c r="C58" s="43">
        <f>Construction!C8</f>
        <v>0</v>
      </c>
      <c r="D58" s="43">
        <f>Construction!D8</f>
        <v>0</v>
      </c>
      <c r="E58" s="43">
        <f>Construction!E8</f>
        <v>0</v>
      </c>
      <c r="F58" s="43">
        <f>Construction!F8</f>
        <v>0</v>
      </c>
      <c r="G58" s="43">
        <f>Construction!G8</f>
        <v>0</v>
      </c>
      <c r="H58" s="43">
        <f>Construction!H8</f>
        <v>0</v>
      </c>
      <c r="I58" s="7" t="s">
        <v>261</v>
      </c>
    </row>
    <row r="59" spans="1:9" s="4" customFormat="1">
      <c r="A59" s="43">
        <f>Construction!A9</f>
        <v>0</v>
      </c>
      <c r="B59" s="43" t="str">
        <f>Construction!B9</f>
        <v>Multiduct Placement</v>
      </c>
      <c r="C59" s="43" t="str">
        <f>Construction!C9</f>
        <v>Multiduct placed in trench</v>
      </c>
      <c r="D59" s="43" t="str">
        <f>Construction!D9</f>
        <v>MCA</v>
      </c>
      <c r="E59" s="43" t="str">
        <f>Construction!E9</f>
        <v>ft</v>
      </c>
      <c r="F59" s="43">
        <f>Construction!F9</f>
        <v>0</v>
      </c>
      <c r="G59" s="43">
        <f>Construction!G9</f>
        <v>1</v>
      </c>
      <c r="H59" s="43">
        <f>Construction!H9</f>
        <v>0</v>
      </c>
      <c r="I59" s="7" t="s">
        <v>261</v>
      </c>
    </row>
    <row r="60" spans="1:9" s="4" customFormat="1">
      <c r="A60" s="43">
        <f>Construction!A10</f>
        <v>0</v>
      </c>
      <c r="B60" s="43" t="str">
        <f>Construction!B10</f>
        <v>Multiduct Placement</v>
      </c>
      <c r="C60" s="43" t="str">
        <f>Construction!C10</f>
        <v>Additional multiduct placed along with first multiduct in trench</v>
      </c>
      <c r="D60" s="43" t="str">
        <f>Construction!D10</f>
        <v>MCA</v>
      </c>
      <c r="E60" s="43" t="str">
        <f>Construction!E10</f>
        <v>ft</v>
      </c>
      <c r="F60" s="43">
        <f>Construction!F10</f>
        <v>0</v>
      </c>
      <c r="G60" s="43">
        <f>Construction!G10</f>
        <v>0.65</v>
      </c>
      <c r="H60" s="43">
        <f>Construction!H10</f>
        <v>0</v>
      </c>
      <c r="I60" s="7" t="s">
        <v>261</v>
      </c>
    </row>
    <row r="61" spans="1:9" s="4" customFormat="1">
      <c r="A61" s="43">
        <f>Construction!A11</f>
        <v>0</v>
      </c>
      <c r="B61" s="43" t="str">
        <f>Construction!B11</f>
        <v>Multiduct Placement</v>
      </c>
      <c r="C61" s="43" t="str">
        <f>Construction!C11</f>
        <v>Horizontal Directional Drill up to 2" OD for multiduct</v>
      </c>
      <c r="D61" s="43" t="str">
        <f>Construction!D11</f>
        <v>MCA</v>
      </c>
      <c r="E61" s="43" t="str">
        <f>Construction!E11</f>
        <v>ft</v>
      </c>
      <c r="F61" s="43">
        <f>Construction!F11</f>
        <v>0</v>
      </c>
      <c r="G61" s="43">
        <f>Construction!G11</f>
        <v>13</v>
      </c>
      <c r="H61" s="43">
        <f>Construction!H11</f>
        <v>0</v>
      </c>
      <c r="I61" s="7" t="s">
        <v>261</v>
      </c>
    </row>
    <row r="62" spans="1:9" s="4" customFormat="1">
      <c r="A62" s="43">
        <f>Construction!A12</f>
        <v>0</v>
      </c>
      <c r="B62" s="43" t="str">
        <f>Construction!B12</f>
        <v>Multiduct Placement</v>
      </c>
      <c r="C62" s="43" t="str">
        <f>Construction!C12</f>
        <v>Additional multiduct placed along with first multiduct in HDD</v>
      </c>
      <c r="D62" s="43" t="str">
        <f>Construction!D12</f>
        <v>MCA</v>
      </c>
      <c r="E62" s="43" t="str">
        <f>Construction!E12</f>
        <v>ft</v>
      </c>
      <c r="F62" s="43">
        <f>Construction!F12</f>
        <v>0</v>
      </c>
      <c r="G62" s="43">
        <f>Construction!G12</f>
        <v>1</v>
      </c>
      <c r="H62" s="43">
        <f>Construction!H12</f>
        <v>0</v>
      </c>
      <c r="I62" s="7" t="s">
        <v>261</v>
      </c>
    </row>
    <row r="63" spans="1:9" s="4" customFormat="1">
      <c r="A63" s="43">
        <f>Construction!A13</f>
        <v>0</v>
      </c>
      <c r="B63" s="43" t="str">
        <f>Construction!B13</f>
        <v>Multiduct Placement</v>
      </c>
      <c r="C63" s="43" t="str">
        <f>Construction!C13</f>
        <v>Place multiduct in existing conduit</v>
      </c>
      <c r="D63" s="43" t="str">
        <f>Construction!D13</f>
        <v>MCA</v>
      </c>
      <c r="E63" s="43" t="str">
        <f>Construction!E13</f>
        <v>ft</v>
      </c>
      <c r="F63" s="43">
        <f>Construction!F13</f>
        <v>0</v>
      </c>
      <c r="G63" s="43">
        <f>Construction!G13</f>
        <v>1</v>
      </c>
      <c r="H63" s="43">
        <f>Construction!H13</f>
        <v>0</v>
      </c>
      <c r="I63" s="7" t="s">
        <v>261</v>
      </c>
    </row>
    <row r="64" spans="1:9" s="4" customFormat="1">
      <c r="A64" s="43">
        <f>Construction!A14</f>
        <v>0</v>
      </c>
      <c r="B64" s="43" t="str">
        <f>Construction!B14</f>
        <v>Multiduct Placement</v>
      </c>
      <c r="C64" s="43" t="str">
        <f>Construction!C14</f>
        <v>Additional multiduct placed along with first multiduct in existing conduit</v>
      </c>
      <c r="D64" s="43" t="str">
        <f>Construction!D14</f>
        <v>MCA</v>
      </c>
      <c r="E64" s="43" t="str">
        <f>Construction!E14</f>
        <v>ft</v>
      </c>
      <c r="F64" s="43">
        <f>Construction!F14</f>
        <v>0</v>
      </c>
      <c r="G64" s="43">
        <f>Construction!G14</f>
        <v>0.65</v>
      </c>
      <c r="H64" s="43">
        <f>Construction!H14</f>
        <v>0</v>
      </c>
      <c r="I64" s="7" t="s">
        <v>261</v>
      </c>
    </row>
    <row r="65" spans="1:9" s="4" customFormat="1">
      <c r="A65" s="43">
        <f>Construction!A15</f>
        <v>0</v>
      </c>
      <c r="B65" s="43" t="str">
        <f>Construction!B15</f>
        <v>Single Duct Placement</v>
      </c>
      <c r="C65" s="43" t="str">
        <f>Construction!C15</f>
        <v>Drop duct placed in trench in right of way</v>
      </c>
      <c r="D65" s="43" t="str">
        <f>Construction!D15</f>
        <v>MCA</v>
      </c>
      <c r="E65" s="43" t="str">
        <f>Construction!E15</f>
        <v>ft</v>
      </c>
      <c r="F65" s="43">
        <f>Construction!F15</f>
        <v>0</v>
      </c>
      <c r="G65" s="43">
        <f>Construction!G15</f>
        <v>1</v>
      </c>
      <c r="H65" s="43">
        <f>Construction!H15</f>
        <v>0</v>
      </c>
      <c r="I65" s="7" t="s">
        <v>261</v>
      </c>
    </row>
    <row r="66" spans="1:9" s="4" customFormat="1">
      <c r="A66" s="43">
        <f>Construction!A16</f>
        <v>0</v>
      </c>
      <c r="B66" s="43" t="str">
        <f>Construction!B16</f>
        <v>Single Duct Placement</v>
      </c>
      <c r="C66" s="43" t="str">
        <f>Construction!C16</f>
        <v>Additional drop duct placed along with first drop duct or multiduct in trench</v>
      </c>
      <c r="D66" s="43" t="str">
        <f>Construction!D16</f>
        <v>MCA</v>
      </c>
      <c r="E66" s="43" t="str">
        <f>Construction!E16</f>
        <v>ft</v>
      </c>
      <c r="F66" s="43">
        <f>Construction!F16</f>
        <v>0</v>
      </c>
      <c r="G66" s="43">
        <f>Construction!G16</f>
        <v>0.65</v>
      </c>
      <c r="H66" s="43">
        <f>Construction!H16</f>
        <v>0</v>
      </c>
      <c r="I66" s="7" t="s">
        <v>261</v>
      </c>
    </row>
    <row r="67" spans="1:9" s="4" customFormat="1">
      <c r="A67" s="43">
        <f>Construction!A17</f>
        <v>0</v>
      </c>
      <c r="B67" s="43" t="str">
        <f>Construction!B17</f>
        <v>Single Duct Placement</v>
      </c>
      <c r="C67" s="43" t="str">
        <f>Construction!C17</f>
        <v>Horizontal Directional Drill for drops up to 2" OD</v>
      </c>
      <c r="D67" s="43" t="str">
        <f>Construction!D17</f>
        <v>MCA</v>
      </c>
      <c r="E67" s="43" t="str">
        <f>Construction!E17</f>
        <v>ft</v>
      </c>
      <c r="F67" s="43">
        <f>Construction!F17</f>
        <v>0</v>
      </c>
      <c r="G67" s="43">
        <f>Construction!G17</f>
        <v>13</v>
      </c>
      <c r="H67" s="43">
        <f>Construction!H17</f>
        <v>0</v>
      </c>
      <c r="I67" s="7" t="s">
        <v>261</v>
      </c>
    </row>
    <row r="68" spans="1:9" s="4" customFormat="1">
      <c r="A68" s="43">
        <f>Construction!A18</f>
        <v>0</v>
      </c>
      <c r="B68" s="43" t="str">
        <f>Construction!B18</f>
        <v>Single Duct Placement</v>
      </c>
      <c r="C68" s="43" t="str">
        <f>Construction!C18</f>
        <v>Additional drop duct placed along with first drop duct or multiduct in HDD</v>
      </c>
      <c r="D68" s="43" t="str">
        <f>Construction!D18</f>
        <v>MCA</v>
      </c>
      <c r="E68" s="43" t="str">
        <f>Construction!E18</f>
        <v>ft</v>
      </c>
      <c r="F68" s="43">
        <f>Construction!F18</f>
        <v>0</v>
      </c>
      <c r="G68" s="43">
        <f>Construction!G18</f>
        <v>1</v>
      </c>
      <c r="H68" s="43">
        <f>Construction!H18</f>
        <v>0</v>
      </c>
      <c r="I68" s="7" t="s">
        <v>261</v>
      </c>
    </row>
    <row r="69" spans="1:9" s="4" customFormat="1">
      <c r="A69" s="43">
        <f>Construction!A19</f>
        <v>0</v>
      </c>
      <c r="B69" s="43" t="str">
        <f>Construction!B19</f>
        <v>Single Duct Placement</v>
      </c>
      <c r="C69" s="43" t="str">
        <f>Construction!C19</f>
        <v>Place drop duct in existing conduit</v>
      </c>
      <c r="D69" s="43" t="str">
        <f>Construction!D19</f>
        <v>MCA</v>
      </c>
      <c r="E69" s="43" t="str">
        <f>Construction!E19</f>
        <v>ft</v>
      </c>
      <c r="F69" s="43">
        <f>Construction!F19</f>
        <v>0</v>
      </c>
      <c r="G69" s="43">
        <f>Construction!G19</f>
        <v>1</v>
      </c>
      <c r="H69" s="43">
        <f>Construction!H19</f>
        <v>0</v>
      </c>
      <c r="I69" s="7" t="s">
        <v>261</v>
      </c>
    </row>
    <row r="70" spans="1:9" s="4" customFormat="1">
      <c r="A70" s="43">
        <f>Construction!A20</f>
        <v>0</v>
      </c>
      <c r="B70" s="43" t="str">
        <f>Construction!B20</f>
        <v>Single Duct Placement</v>
      </c>
      <c r="C70" s="43" t="str">
        <f>Construction!C20</f>
        <v>Additional drop duct placed along with first drop duct or multiduct in existing conduit</v>
      </c>
      <c r="D70" s="43" t="str">
        <f>Construction!D20</f>
        <v>MCA</v>
      </c>
      <c r="E70" s="43" t="str">
        <f>Construction!E20</f>
        <v>ft</v>
      </c>
      <c r="F70" s="43">
        <f>Construction!F20</f>
        <v>0</v>
      </c>
      <c r="G70" s="43">
        <f>Construction!G20</f>
        <v>0.65</v>
      </c>
      <c r="H70" s="43">
        <f>Construction!H20</f>
        <v>0</v>
      </c>
      <c r="I70" s="7" t="s">
        <v>261</v>
      </c>
    </row>
    <row r="71" spans="1:9" s="4" customFormat="1">
      <c r="A71" s="43">
        <f>Construction!A21</f>
        <v>0</v>
      </c>
      <c r="B71" s="43" t="str">
        <f>Construction!B21</f>
        <v>Single Duct Placement</v>
      </c>
      <c r="C71" s="43" t="str">
        <f>Construction!C21</f>
        <v>Drop duct placed in trench from right of way to fiber termination box</v>
      </c>
      <c r="D71" s="43" t="str">
        <f>Construction!D21</f>
        <v>MCA</v>
      </c>
      <c r="E71" s="43" t="str">
        <f>Construction!E21</f>
        <v>ft</v>
      </c>
      <c r="F71" s="43">
        <f>Construction!F21</f>
        <v>0</v>
      </c>
      <c r="G71" s="43">
        <f>Construction!G21</f>
        <v>1.5</v>
      </c>
      <c r="H71" s="43">
        <f>Construction!H21</f>
        <v>0</v>
      </c>
      <c r="I71" s="7" t="s">
        <v>261</v>
      </c>
    </row>
    <row r="72" spans="1:9" s="4" customFormat="1" ht="24">
      <c r="A72" s="43" t="str">
        <f>Construction!A22</f>
        <v>Duct Branch Off Locations</v>
      </c>
      <c r="B72" s="43">
        <f>Construction!B22</f>
        <v>0</v>
      </c>
      <c r="C72" s="43">
        <f>Construction!C22</f>
        <v>0</v>
      </c>
      <c r="D72" s="43">
        <f>Construction!D22</f>
        <v>0</v>
      </c>
      <c r="E72" s="43">
        <f>Construction!E22</f>
        <v>0</v>
      </c>
      <c r="F72" s="43">
        <f>Construction!F22</f>
        <v>0</v>
      </c>
      <c r="G72" s="43">
        <f>Construction!G22</f>
        <v>0</v>
      </c>
      <c r="H72" s="43">
        <f>Construction!H22</f>
        <v>0</v>
      </c>
      <c r="I72" s="7" t="s">
        <v>261</v>
      </c>
    </row>
    <row r="73" spans="1:9" s="4" customFormat="1">
      <c r="A73" s="43">
        <f>Construction!A23</f>
        <v>0</v>
      </c>
      <c r="B73" s="43" t="str">
        <f>Construction!B23</f>
        <v>DBC Installation</v>
      </c>
      <c r="C73" s="43" t="str">
        <f>Construction!C23</f>
        <v>Pit for the placement of duct branch closures</v>
      </c>
      <c r="D73" s="43" t="str">
        <f>Construction!D23</f>
        <v>MCA</v>
      </c>
      <c r="E73" s="43" t="str">
        <f>Construction!E23</f>
        <v>each</v>
      </c>
      <c r="F73" s="43">
        <f>Construction!F23</f>
        <v>0</v>
      </c>
      <c r="G73" s="43">
        <f>Construction!G23</f>
        <v>100</v>
      </c>
      <c r="H73" s="43">
        <f>Construction!H23</f>
        <v>0</v>
      </c>
      <c r="I73" s="7" t="s">
        <v>261</v>
      </c>
    </row>
    <row r="74" spans="1:9" s="4" customFormat="1">
      <c r="A74" s="43">
        <f>Construction!A24</f>
        <v>0</v>
      </c>
      <c r="B74" s="43" t="str">
        <f>Construction!B24</f>
        <v>DBC Installation</v>
      </c>
      <c r="C74" s="43" t="str">
        <f>Construction!C24</f>
        <v>Install duct branch closure and connectors per location - 4 port</v>
      </c>
      <c r="D74" s="43">
        <f>Construction!D24</f>
        <v>30</v>
      </c>
      <c r="E74" s="43" t="str">
        <f>Construction!E24</f>
        <v>each</v>
      </c>
      <c r="F74" s="43">
        <f>Construction!F24</f>
        <v>0</v>
      </c>
      <c r="G74" s="43">
        <f>Construction!G24</f>
        <v>40</v>
      </c>
      <c r="H74" s="43">
        <f>Construction!H24</f>
        <v>0</v>
      </c>
      <c r="I74" s="7" t="s">
        <v>261</v>
      </c>
    </row>
    <row r="75" spans="1:9" s="4" customFormat="1">
      <c r="A75" s="43">
        <f>Construction!A25</f>
        <v>0</v>
      </c>
      <c r="B75" s="43" t="str">
        <f>Construction!B25</f>
        <v>DBC Installation</v>
      </c>
      <c r="C75" s="43" t="str">
        <f>Construction!C25</f>
        <v>Install duct branch closure and connectors per location - 8 port</v>
      </c>
      <c r="D75" s="43">
        <f>Construction!D25</f>
        <v>40</v>
      </c>
      <c r="E75" s="43" t="str">
        <f>Construction!E25</f>
        <v>each</v>
      </c>
      <c r="F75" s="43">
        <f>Construction!F25</f>
        <v>0</v>
      </c>
      <c r="G75" s="43">
        <f>Construction!G25</f>
        <v>53.333333333333329</v>
      </c>
      <c r="H75" s="43">
        <f>Construction!H25</f>
        <v>0</v>
      </c>
      <c r="I75" s="7" t="s">
        <v>261</v>
      </c>
    </row>
    <row r="76" spans="1:9" s="4" customFormat="1">
      <c r="A76" s="43">
        <f>Construction!A26</f>
        <v>0</v>
      </c>
      <c r="B76" s="43" t="str">
        <f>Construction!B26</f>
        <v>DBC Installation</v>
      </c>
      <c r="C76" s="43" t="str">
        <f>Construction!C26</f>
        <v>Install locate marker excluding material</v>
      </c>
      <c r="D76" s="43" t="str">
        <f>Construction!D26</f>
        <v>MCA</v>
      </c>
      <c r="E76" s="43" t="str">
        <f>Construction!E26</f>
        <v>each</v>
      </c>
      <c r="F76" s="43">
        <f>Construction!F26</f>
        <v>0</v>
      </c>
      <c r="G76" s="43">
        <f>Construction!G26</f>
        <v>15</v>
      </c>
      <c r="H76" s="43">
        <f>Construction!H26</f>
        <v>0</v>
      </c>
      <c r="I76" s="7" t="s">
        <v>261</v>
      </c>
    </row>
    <row r="77" spans="1:9" s="4" customFormat="1">
      <c r="A77" s="43">
        <f>Construction!A27</f>
        <v>0</v>
      </c>
      <c r="B77" s="43" t="str">
        <f>Construction!B27</f>
        <v>DBC Installation</v>
      </c>
      <c r="C77" s="43" t="str">
        <f>Construction!C27</f>
        <v>Microduct verification and labeling per microduct</v>
      </c>
      <c r="D77" s="43">
        <f>Construction!D27</f>
        <v>7</v>
      </c>
      <c r="E77" s="43" t="str">
        <f>Construction!E27</f>
        <v>each</v>
      </c>
      <c r="F77" s="43">
        <f>Construction!F27</f>
        <v>0</v>
      </c>
      <c r="G77" s="43">
        <f>Construction!G27</f>
        <v>9.3333333333333339</v>
      </c>
      <c r="H77" s="43">
        <f>Construction!H27</f>
        <v>0</v>
      </c>
      <c r="I77" s="7" t="s">
        <v>261</v>
      </c>
    </row>
    <row r="78" spans="1:9" s="4" customFormat="1">
      <c r="A78" s="43">
        <f>Construction!A28</f>
        <v>0</v>
      </c>
      <c r="B78" s="43" t="str">
        <f>Construction!B28</f>
        <v>DBC Installation</v>
      </c>
      <c r="C78" s="43" t="str">
        <f>Construction!C28</f>
        <v>Install Toby Box (flower pot) and terminate drop</v>
      </c>
      <c r="D78" s="43">
        <f>Construction!D28</f>
        <v>10</v>
      </c>
      <c r="E78" s="43" t="str">
        <f>Construction!E28</f>
        <v>each</v>
      </c>
      <c r="F78" s="43">
        <f>Construction!F28</f>
        <v>0</v>
      </c>
      <c r="G78" s="43">
        <f>Construction!G28</f>
        <v>13.333333333333332</v>
      </c>
      <c r="H78" s="43">
        <f>Construction!H28</f>
        <v>0</v>
      </c>
      <c r="I78" s="7" t="s">
        <v>261</v>
      </c>
    </row>
    <row r="79" spans="1:9" s="4" customFormat="1" ht="24">
      <c r="A79" s="43" t="str">
        <f>Construction!A29</f>
        <v>Fiber and Splicing</v>
      </c>
      <c r="B79" s="43">
        <f>Construction!B29</f>
        <v>0</v>
      </c>
      <c r="C79" s="43">
        <f>Construction!C29</f>
        <v>0</v>
      </c>
      <c r="D79" s="43">
        <f>Construction!D29</f>
        <v>0</v>
      </c>
      <c r="E79" s="43">
        <f>Construction!E29</f>
        <v>0</v>
      </c>
      <c r="F79" s="43">
        <f>Construction!F29</f>
        <v>0</v>
      </c>
      <c r="G79" s="43">
        <f>Construction!G29</f>
        <v>0</v>
      </c>
      <c r="H79" s="43">
        <f>Construction!H29</f>
        <v>0</v>
      </c>
      <c r="I79" s="7" t="s">
        <v>261</v>
      </c>
    </row>
    <row r="80" spans="1:9" s="4" customFormat="1">
      <c r="A80" s="43">
        <f>Construction!A30</f>
        <v>0</v>
      </c>
      <c r="B80" s="43" t="str">
        <f>Construction!B30</f>
        <v>F2 Fiber Installation</v>
      </c>
      <c r="C80" s="43" t="str">
        <f>Construction!C30</f>
        <v>Air Blow Fiber from FDH to FDH</v>
      </c>
      <c r="D80" s="43">
        <f>Construction!D30</f>
        <v>30</v>
      </c>
      <c r="E80" s="43" t="str">
        <f>Construction!E30</f>
        <v>each</v>
      </c>
      <c r="F80" s="43">
        <f>Construction!F30</f>
        <v>0</v>
      </c>
      <c r="G80" s="43">
        <f>Construction!G30</f>
        <v>40</v>
      </c>
      <c r="H80" s="43">
        <f>Construction!H30</f>
        <v>0</v>
      </c>
      <c r="I80" s="7" t="s">
        <v>261</v>
      </c>
    </row>
    <row r="81" spans="1:9" s="4" customFormat="1">
      <c r="A81" s="43">
        <f>Construction!A31</f>
        <v>0</v>
      </c>
      <c r="B81" s="43" t="str">
        <f>Construction!B31</f>
        <v>F2 Fiber Splicing</v>
      </c>
      <c r="C81" s="43" t="str">
        <f>Construction!C31</f>
        <v>Splice setup fee at each FDH</v>
      </c>
      <c r="D81" s="43" t="str">
        <f>Construction!D31</f>
        <v>MCA</v>
      </c>
      <c r="E81" s="43" t="str">
        <f>Construction!E31</f>
        <v>each</v>
      </c>
      <c r="F81" s="43">
        <f>Construction!F31</f>
        <v>0</v>
      </c>
      <c r="G81" s="43">
        <f>Construction!G31</f>
        <v>80</v>
      </c>
      <c r="H81" s="43">
        <f>Construction!H31</f>
        <v>0</v>
      </c>
      <c r="I81" s="7" t="s">
        <v>261</v>
      </c>
    </row>
    <row r="82" spans="1:9" s="4" customFormat="1">
      <c r="A82" s="43">
        <f>Construction!A32</f>
        <v>0</v>
      </c>
      <c r="B82" s="43" t="str">
        <f>Construction!B32</f>
        <v>F2 Fiber Splicing</v>
      </c>
      <c r="C82" s="43" t="str">
        <f>Construction!C32</f>
        <v>Splice fibers at each FDH</v>
      </c>
      <c r="D82" s="43" t="str">
        <f>Construction!D32</f>
        <v>MCA</v>
      </c>
      <c r="E82" s="43" t="str">
        <f>Construction!E32</f>
        <v>each</v>
      </c>
      <c r="F82" s="43">
        <f>Construction!F32</f>
        <v>0</v>
      </c>
      <c r="G82" s="43">
        <f>Construction!G32</f>
        <v>25</v>
      </c>
      <c r="H82" s="43">
        <f>Construction!H32</f>
        <v>0</v>
      </c>
      <c r="I82" s="7" t="s">
        <v>261</v>
      </c>
    </row>
    <row r="83" spans="1:9" s="4" customFormat="1">
      <c r="A83" s="43">
        <f>Construction!A33</f>
        <v>0</v>
      </c>
      <c r="B83" s="43" t="str">
        <f>Construction!B33</f>
        <v>F2 Fiber Spicing</v>
      </c>
      <c r="C83" s="43" t="str">
        <f>Construction!C33</f>
        <v>OTDR test of fiber between FDHs</v>
      </c>
      <c r="D83" s="43" t="str">
        <f>Construction!D33</f>
        <v>MCA</v>
      </c>
      <c r="E83" s="43" t="str">
        <f>Construction!E33</f>
        <v>each</v>
      </c>
      <c r="F83" s="43">
        <f>Construction!F33</f>
        <v>0</v>
      </c>
      <c r="G83" s="43">
        <f>Construction!G33</f>
        <v>6</v>
      </c>
      <c r="H83" s="43">
        <f>Construction!H33</f>
        <v>0</v>
      </c>
      <c r="I83" s="7" t="s">
        <v>261</v>
      </c>
    </row>
    <row r="84" spans="1:9" s="4" customFormat="1">
      <c r="A84" s="43">
        <f>Construction!A34</f>
        <v>0</v>
      </c>
      <c r="B84" s="43" t="str">
        <f>Construction!B34</f>
        <v>F2 Fiber Installation</v>
      </c>
      <c r="C84" s="43" t="str">
        <f>Construction!C34</f>
        <v>Air Blow Fiber from FTB to FDH</v>
      </c>
      <c r="D84" s="43">
        <f>Construction!D34</f>
        <v>20</v>
      </c>
      <c r="E84" s="43" t="str">
        <f>Construction!E34</f>
        <v>each</v>
      </c>
      <c r="F84" s="43">
        <f>Construction!F34</f>
        <v>0</v>
      </c>
      <c r="G84" s="43">
        <f>Construction!G34</f>
        <v>26.666666666666664</v>
      </c>
      <c r="H84" s="43">
        <f>Construction!H34</f>
        <v>0</v>
      </c>
      <c r="I84" s="7" t="s">
        <v>261</v>
      </c>
    </row>
    <row r="85" spans="1:9" s="4" customFormat="1">
      <c r="A85" s="43">
        <f>Construction!A35</f>
        <v>0</v>
      </c>
      <c r="B85" s="43" t="str">
        <f>Construction!B35</f>
        <v>F2 Fiber Splicing</v>
      </c>
      <c r="C85" s="43" t="str">
        <f>Construction!C35</f>
        <v>Splice fibers at each FTB and FDH</v>
      </c>
      <c r="D85" s="43" t="str">
        <f>Construction!D35</f>
        <v>MCA</v>
      </c>
      <c r="E85" s="43" t="str">
        <f>Construction!E35</f>
        <v>each</v>
      </c>
      <c r="F85" s="43">
        <f>Construction!F35</f>
        <v>0</v>
      </c>
      <c r="G85" s="43">
        <f>Construction!G35</f>
        <v>25</v>
      </c>
      <c r="H85" s="43">
        <f>Construction!H35</f>
        <v>0</v>
      </c>
      <c r="I85" s="7" t="s">
        <v>261</v>
      </c>
    </row>
    <row r="86" spans="1:9" s="4" customFormat="1">
      <c r="A86" s="43">
        <f>Construction!A36</f>
        <v>0</v>
      </c>
      <c r="B86" s="43" t="str">
        <f>Construction!B36</f>
        <v>F2 Fiber Spicing</v>
      </c>
      <c r="C86" s="43" t="str">
        <f>Construction!C36</f>
        <v>OTDR test of fiber between FDHs</v>
      </c>
      <c r="D86" s="43" t="str">
        <f>Construction!D36</f>
        <v>MCA</v>
      </c>
      <c r="E86" s="43" t="str">
        <f>Construction!E36</f>
        <v>each</v>
      </c>
      <c r="F86" s="43">
        <f>Construction!F36</f>
        <v>0</v>
      </c>
      <c r="G86" s="43">
        <f>Construction!G36</f>
        <v>6</v>
      </c>
      <c r="H86" s="43">
        <f>Construction!H36</f>
        <v>0</v>
      </c>
      <c r="I86" s="7" t="s">
        <v>261</v>
      </c>
    </row>
    <row r="87" spans="1:9" s="2" customFormat="1" ht="22.5" customHeight="1">
      <c r="A87" s="196" t="s">
        <v>262</v>
      </c>
      <c r="B87" s="197"/>
      <c r="C87" s="197"/>
      <c r="D87" s="197"/>
      <c r="E87" s="197"/>
      <c r="F87" s="197"/>
      <c r="G87" s="198"/>
      <c r="H87" s="36">
        <f>SUM(H2:H86)</f>
        <v>0</v>
      </c>
      <c r="I87" s="36">
        <f>'Hex Material'!H51+Construction!H37</f>
        <v>0</v>
      </c>
    </row>
    <row r="88" spans="1:9" s="2" customFormat="1" ht="22.5" customHeight="1">
      <c r="A88" s="16"/>
      <c r="B88" s="16"/>
      <c r="C88" s="16"/>
      <c r="F88" s="25"/>
      <c r="G88" s="21"/>
      <c r="H88" s="37"/>
      <c r="I88" s="24">
        <f>H87-I87</f>
        <v>0</v>
      </c>
    </row>
    <row r="89" spans="1:9" s="2" customFormat="1" ht="22.5" customHeight="1">
      <c r="A89" s="16"/>
      <c r="B89" s="16"/>
      <c r="C89" s="16"/>
      <c r="F89" s="25"/>
      <c r="G89" s="21"/>
      <c r="H89" s="37"/>
    </row>
    <row r="90" spans="1:9" s="2" customFormat="1" ht="22.5" customHeight="1">
      <c r="A90" s="16"/>
      <c r="B90" s="16"/>
      <c r="C90" s="16"/>
      <c r="F90" s="25"/>
      <c r="G90" s="21"/>
      <c r="H90" s="37"/>
    </row>
    <row r="91" spans="1:9" s="2" customFormat="1" ht="22.5" customHeight="1">
      <c r="A91" s="16"/>
      <c r="B91" s="16"/>
      <c r="C91" s="16"/>
      <c r="F91" s="25"/>
      <c r="G91" s="21"/>
      <c r="H91" s="37"/>
    </row>
    <row r="92" spans="1:9" s="2" customFormat="1" ht="22.5" customHeight="1">
      <c r="A92" s="16"/>
      <c r="B92" s="16"/>
      <c r="C92" s="16"/>
      <c r="F92" s="25"/>
      <c r="G92" s="21"/>
      <c r="H92" s="37"/>
    </row>
    <row r="93" spans="1:9" s="2" customFormat="1" ht="22.5" customHeight="1">
      <c r="A93" s="16"/>
      <c r="B93" s="16"/>
      <c r="C93" s="16"/>
      <c r="F93" s="25"/>
      <c r="G93" s="21"/>
      <c r="H93" s="37"/>
    </row>
    <row r="94" spans="1:9" s="2" customFormat="1" ht="22.5" customHeight="1">
      <c r="A94" s="16"/>
      <c r="B94" s="16"/>
      <c r="C94" s="16"/>
      <c r="F94" s="25"/>
      <c r="G94" s="21"/>
      <c r="H94" s="37"/>
    </row>
    <row r="95" spans="1:9" s="2" customFormat="1" ht="22.5" customHeight="1">
      <c r="A95" s="16"/>
      <c r="B95" s="16"/>
      <c r="C95" s="16"/>
      <c r="F95" s="25"/>
      <c r="G95" s="21"/>
      <c r="H95" s="37"/>
    </row>
    <row r="96" spans="1:9" s="2" customFormat="1" ht="22.5" customHeight="1">
      <c r="A96" s="16"/>
      <c r="B96" s="16"/>
      <c r="C96" s="16"/>
      <c r="F96" s="25"/>
      <c r="G96" s="21"/>
      <c r="H96" s="37"/>
    </row>
    <row r="97" spans="1:9" s="2" customFormat="1" ht="22.5" customHeight="1">
      <c r="A97" s="16"/>
      <c r="B97" s="16"/>
      <c r="C97" s="16"/>
      <c r="F97" s="25"/>
      <c r="G97" s="21"/>
      <c r="H97" s="37"/>
    </row>
    <row r="98" spans="1:9" s="2" customFormat="1" ht="22.5" customHeight="1">
      <c r="A98" s="16"/>
      <c r="B98" s="16"/>
      <c r="C98" s="16"/>
      <c r="F98" s="25"/>
      <c r="G98" s="21"/>
      <c r="H98" s="37"/>
    </row>
    <row r="99" spans="1:9" s="2" customFormat="1" ht="22.5" customHeight="1">
      <c r="A99" s="16"/>
      <c r="B99" s="16"/>
      <c r="C99" s="16"/>
      <c r="F99" s="25"/>
      <c r="G99" s="21"/>
      <c r="H99" s="37"/>
    </row>
    <row r="100" spans="1:9" s="2" customFormat="1" ht="22.5" customHeight="1">
      <c r="A100" s="16"/>
      <c r="B100" s="16"/>
      <c r="C100" s="16"/>
      <c r="F100" s="25"/>
      <c r="G100" s="21"/>
      <c r="H100" s="37"/>
    </row>
    <row r="101" spans="1:9" s="2" customFormat="1" ht="22.5" customHeight="1">
      <c r="A101" s="16"/>
      <c r="B101" s="16"/>
      <c r="C101" s="16"/>
      <c r="F101" s="25"/>
      <c r="G101" s="21"/>
      <c r="H101" s="37"/>
    </row>
    <row r="102" spans="1:9" s="2" customFormat="1" ht="22.5" customHeight="1">
      <c r="A102" s="16"/>
      <c r="B102" s="16"/>
      <c r="C102" s="16"/>
      <c r="F102" s="25"/>
      <c r="G102" s="21"/>
      <c r="H102" s="37"/>
    </row>
    <row r="103" spans="1:9" s="2" customFormat="1" ht="22.5" customHeight="1">
      <c r="A103" s="16"/>
      <c r="B103" s="16"/>
      <c r="C103" s="16"/>
      <c r="F103" s="25"/>
      <c r="G103" s="21"/>
      <c r="H103" s="37"/>
    </row>
    <row r="104" spans="1:9" s="2" customFormat="1" ht="22.5" customHeight="1">
      <c r="A104" s="16"/>
      <c r="B104" s="16"/>
      <c r="C104" s="16"/>
      <c r="F104" s="25"/>
      <c r="G104" s="21"/>
      <c r="H104" s="37"/>
    </row>
    <row r="105" spans="1:9" s="2" customFormat="1" ht="22.5" customHeight="1">
      <c r="A105" s="16"/>
      <c r="B105" s="16"/>
      <c r="C105" s="16"/>
      <c r="F105" s="25"/>
      <c r="G105" s="21"/>
      <c r="H105" s="37"/>
    </row>
    <row r="106" spans="1:9" s="2" customFormat="1" ht="22.5" customHeight="1">
      <c r="A106" s="16"/>
      <c r="B106" s="16"/>
      <c r="C106" s="16"/>
      <c r="F106" s="25"/>
      <c r="G106" s="21"/>
      <c r="H106" s="37"/>
    </row>
    <row r="107" spans="1:9" s="2" customFormat="1" ht="22.5" customHeight="1">
      <c r="A107" s="16"/>
      <c r="B107" s="16"/>
      <c r="C107" s="16"/>
      <c r="F107" s="25"/>
      <c r="G107" s="21"/>
      <c r="H107" s="37"/>
    </row>
    <row r="108" spans="1:9" s="2" customFormat="1" ht="22.5" customHeight="1">
      <c r="A108" s="16"/>
      <c r="B108" s="16"/>
      <c r="C108" s="16"/>
      <c r="F108" s="25"/>
      <c r="G108" s="21"/>
      <c r="H108" s="37"/>
    </row>
    <row r="109" spans="1:9" s="2" customFormat="1" ht="22.5" customHeight="1">
      <c r="A109" s="16"/>
      <c r="B109" s="16"/>
      <c r="C109" s="16"/>
      <c r="F109" s="25"/>
      <c r="G109" s="21"/>
      <c r="H109" s="37"/>
    </row>
    <row r="110" spans="1:9" s="4" customFormat="1" ht="12" customHeight="1">
      <c r="A110" s="45"/>
      <c r="B110" s="5"/>
      <c r="C110" s="5"/>
      <c r="D110" s="8"/>
      <c r="E110" s="8"/>
      <c r="F110" s="10"/>
      <c r="G110" s="6"/>
      <c r="H110" s="38"/>
      <c r="I110" s="8"/>
    </row>
    <row r="111" spans="1:9" s="4" customFormat="1">
      <c r="A111" s="45"/>
      <c r="B111" s="5"/>
      <c r="C111" s="5"/>
      <c r="D111" s="8"/>
      <c r="E111" s="8"/>
      <c r="F111" s="10"/>
      <c r="G111" s="6"/>
      <c r="H111" s="38"/>
      <c r="I111" s="8"/>
    </row>
    <row r="114" spans="3:5">
      <c r="C114" s="4"/>
      <c r="D114" s="20"/>
    </row>
    <row r="115" spans="3:5">
      <c r="C115" s="4"/>
      <c r="D115" s="20"/>
    </row>
    <row r="121" spans="3:5">
      <c r="D121" s="8">
        <v>3</v>
      </c>
      <c r="E121" s="8" t="e">
        <f>ROUND(D121*#REF!,0)</f>
        <v>#REF!</v>
      </c>
    </row>
    <row r="122" spans="3:5">
      <c r="D122" s="8">
        <v>5</v>
      </c>
      <c r="E122" s="8" t="e">
        <f>ROUND(D122*#REF!,0)</f>
        <v>#REF!</v>
      </c>
    </row>
    <row r="123" spans="3:5">
      <c r="D123" s="8">
        <v>4</v>
      </c>
      <c r="E123" s="8" t="e">
        <f>ROUND(D123*#REF!,0)</f>
        <v>#REF!</v>
      </c>
    </row>
    <row r="124" spans="3:5">
      <c r="D124" s="8">
        <v>14</v>
      </c>
      <c r="E124" s="8" t="e">
        <f>ROUND(D124*#REF!,0)</f>
        <v>#REF!</v>
      </c>
    </row>
    <row r="125" spans="3:5">
      <c r="D125" s="8">
        <v>31</v>
      </c>
      <c r="E125" s="8" t="e">
        <f>ROUND(D125*#REF!,0)</f>
        <v>#REF!</v>
      </c>
    </row>
    <row r="126" spans="3:5">
      <c r="D126" s="8">
        <v>40</v>
      </c>
      <c r="E126" s="8" t="e">
        <f>ROUND(D126*#REF!,0)</f>
        <v>#REF!</v>
      </c>
    </row>
    <row r="127" spans="3:5">
      <c r="D127" s="8">
        <v>44</v>
      </c>
      <c r="E127" s="8" t="e">
        <f>ROUND(D127*#REF!,0)</f>
        <v>#REF!</v>
      </c>
    </row>
    <row r="128" spans="3:5">
      <c r="D128" s="8">
        <v>35</v>
      </c>
      <c r="E128" s="8" t="e">
        <f>ROUND(D128*#REF!,0)</f>
        <v>#REF!</v>
      </c>
    </row>
    <row r="129" spans="4:5">
      <c r="D129" s="8">
        <v>32</v>
      </c>
      <c r="E129" s="8" t="e">
        <f>ROUND(D129*#REF!,0)</f>
        <v>#REF!</v>
      </c>
    </row>
    <row r="130" spans="4:5">
      <c r="D130" s="20">
        <v>26</v>
      </c>
      <c r="E130" s="8" t="e">
        <f>ROUND(D130*#REF!,0)</f>
        <v>#REF!</v>
      </c>
    </row>
    <row r="131" spans="4:5">
      <c r="D131" s="8">
        <v>37</v>
      </c>
      <c r="E131" s="8" t="e">
        <f>ROUND(D131*#REF!,0)</f>
        <v>#REF!</v>
      </c>
    </row>
    <row r="132" spans="4:5">
      <c r="D132" s="20">
        <v>10</v>
      </c>
      <c r="E132" s="8" t="e">
        <f>ROUND(D132*#REF!,0)</f>
        <v>#REF!</v>
      </c>
    </row>
    <row r="133" spans="4:5">
      <c r="D133" s="20">
        <v>8</v>
      </c>
      <c r="E133" s="8" t="e">
        <f>ROUND(D133*#REF!,0)</f>
        <v>#REF!</v>
      </c>
    </row>
    <row r="134" spans="4:5">
      <c r="D134" s="20">
        <v>6</v>
      </c>
      <c r="E134" s="8" t="e">
        <f>ROUND(D134*#REF!,0)</f>
        <v>#REF!</v>
      </c>
    </row>
    <row r="135" spans="4:5">
      <c r="D135" s="20">
        <v>11</v>
      </c>
      <c r="E135" s="8" t="e">
        <f>ROUND(D135*#REF!,0)</f>
        <v>#REF!</v>
      </c>
    </row>
    <row r="136" spans="4:5">
      <c r="E136" s="8" t="e">
        <f>D121-E121</f>
        <v>#REF!</v>
      </c>
    </row>
    <row r="137" spans="4:5">
      <c r="E137" s="8" t="e">
        <f t="shared" ref="E137:E150" si="0">D122-E122</f>
        <v>#REF!</v>
      </c>
    </row>
    <row r="138" spans="4:5">
      <c r="E138" s="8" t="e">
        <f t="shared" si="0"/>
        <v>#REF!</v>
      </c>
    </row>
    <row r="139" spans="4:5">
      <c r="E139" s="8" t="e">
        <f t="shared" si="0"/>
        <v>#REF!</v>
      </c>
    </row>
    <row r="140" spans="4:5">
      <c r="E140" s="8" t="e">
        <f t="shared" si="0"/>
        <v>#REF!</v>
      </c>
    </row>
    <row r="141" spans="4:5">
      <c r="E141" s="8" t="e">
        <f t="shared" si="0"/>
        <v>#REF!</v>
      </c>
    </row>
    <row r="142" spans="4:5">
      <c r="E142" s="8" t="e">
        <f t="shared" si="0"/>
        <v>#REF!</v>
      </c>
    </row>
    <row r="143" spans="4:5">
      <c r="E143" s="8" t="e">
        <f t="shared" si="0"/>
        <v>#REF!</v>
      </c>
    </row>
    <row r="144" spans="4:5">
      <c r="E144" s="8" t="e">
        <f t="shared" si="0"/>
        <v>#REF!</v>
      </c>
    </row>
    <row r="145" spans="4:5">
      <c r="D145" s="20"/>
      <c r="E145" s="8" t="e">
        <f t="shared" si="0"/>
        <v>#REF!</v>
      </c>
    </row>
    <row r="146" spans="4:5">
      <c r="D146" s="20"/>
      <c r="E146" s="8" t="e">
        <f t="shared" si="0"/>
        <v>#REF!</v>
      </c>
    </row>
    <row r="147" spans="4:5">
      <c r="D147" s="20"/>
      <c r="E147" s="8" t="e">
        <f t="shared" si="0"/>
        <v>#REF!</v>
      </c>
    </row>
    <row r="148" spans="4:5">
      <c r="D148" s="20"/>
      <c r="E148" s="8" t="e">
        <f t="shared" si="0"/>
        <v>#REF!</v>
      </c>
    </row>
    <row r="149" spans="4:5">
      <c r="D149" s="20"/>
      <c r="E149" s="8" t="e">
        <f t="shared" si="0"/>
        <v>#REF!</v>
      </c>
    </row>
    <row r="150" spans="4:5">
      <c r="D150" s="20"/>
      <c r="E150" s="8" t="e">
        <f t="shared" si="0"/>
        <v>#REF!</v>
      </c>
    </row>
  </sheetData>
  <autoFilter ref="A1:I150" xr:uid="{00000000-0009-0000-0000-000005000000}"/>
  <mergeCells count="1">
    <mergeCell ref="A87:G8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Ericsson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Masters</dc:creator>
  <cp:keywords/>
  <dc:description/>
  <cp:lastModifiedBy>Binlayson Mallari</cp:lastModifiedBy>
  <cp:revision/>
  <dcterms:created xsi:type="dcterms:W3CDTF">2013-09-16T12:49:35Z</dcterms:created>
  <dcterms:modified xsi:type="dcterms:W3CDTF">2023-06-19T02:19:20Z</dcterms:modified>
  <cp:category/>
  <cp:contentStatus/>
</cp:coreProperties>
</file>